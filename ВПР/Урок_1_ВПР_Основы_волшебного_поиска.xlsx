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 DOCUMENTS\01_БЛОГ ЭКСЕЛЬ\ExcelClub\ВПР\"/>
    </mc:Choice>
  </mc:AlternateContent>
  <xr:revisionPtr revIDLastSave="0" documentId="13_ncr:1_{7327254F-1CE3-42D6-A78E-7A52B6974334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J8" i="1"/>
  <c r="I8" i="1"/>
  <c r="H8" i="1"/>
</calcChain>
</file>

<file path=xl/sharedStrings.xml><?xml version="1.0" encoding="utf-8"?>
<sst xmlns="http://schemas.openxmlformats.org/spreadsheetml/2006/main" count="164" uniqueCount="122">
  <si>
    <t>Код товара</t>
  </si>
  <si>
    <t>Название товара</t>
  </si>
  <si>
    <t>Сайт клуба</t>
  </si>
  <si>
    <t>https://first.excel-club.ru</t>
  </si>
  <si>
    <t>ТГ-канал</t>
  </si>
  <si>
    <t>https://t.me/pivikovaexcel</t>
  </si>
  <si>
    <t>Ютуб</t>
  </si>
  <si>
    <t>https://www.youtube.com/@pivikova-excel</t>
  </si>
  <si>
    <t>Вконтакте</t>
  </si>
  <si>
    <t>https://vk.com/pivikova_excel</t>
  </si>
  <si>
    <t>Цена (руб)</t>
  </si>
  <si>
    <t>Категория</t>
  </si>
  <si>
    <t>Бренд</t>
  </si>
  <si>
    <t>Смартфон Galaxy S22 128GB Black</t>
  </si>
  <si>
    <t>Смартфоны</t>
  </si>
  <si>
    <t>Samsung</t>
  </si>
  <si>
    <t>Ноутбук IdeaPad 5 15ITL05 Grey</t>
  </si>
  <si>
    <t>Ноутбуки</t>
  </si>
  <si>
    <t>Lenovo</t>
  </si>
  <si>
    <t>Наушники WH-1000XM4 Black</t>
  </si>
  <si>
    <t>Аудио</t>
  </si>
  <si>
    <t>Sony</t>
  </si>
  <si>
    <t>Монитор 27" G5 Odyssey</t>
  </si>
  <si>
    <t>Мониторы</t>
  </si>
  <si>
    <t>Фитнес-браслет Mi Band 6</t>
  </si>
  <si>
    <t>Гаджеты</t>
  </si>
  <si>
    <t>Xiaomi</t>
  </si>
  <si>
    <t>SSD 1TB 870 EVO</t>
  </si>
  <si>
    <t>Комплектующие</t>
  </si>
  <si>
    <t>Роутер Archer AX50</t>
  </si>
  <si>
    <t>Сетевое</t>
  </si>
  <si>
    <t>TP-Link</t>
  </si>
  <si>
    <t>Игровая мышь G502 HERO</t>
  </si>
  <si>
    <t>Периферия</t>
  </si>
  <si>
    <t>Logitech</t>
  </si>
  <si>
    <t>Клавиатура K380 Compact Blue</t>
  </si>
  <si>
    <t>Планшет Tab S7 FE 64GB Green</t>
  </si>
  <si>
    <t>Планшеты</t>
  </si>
  <si>
    <t>Умные часы Watch 4 44mm Silver</t>
  </si>
  <si>
    <t>МФУ LaserJet Pro M148fdw</t>
  </si>
  <si>
    <t>Офисная техника</t>
  </si>
  <si>
    <t>HP</t>
  </si>
  <si>
    <t>Внешний HDD 2TB Elements Portable</t>
  </si>
  <si>
    <t>Накопители</t>
  </si>
  <si>
    <t>WD</t>
  </si>
  <si>
    <t>Веб-камера C920 HD Pro</t>
  </si>
  <si>
    <t>Колонки XB23 Portable Blue</t>
  </si>
  <si>
    <t>ИБП Back-UPS 700</t>
  </si>
  <si>
    <t>APC</t>
  </si>
  <si>
    <t>Игровой коврик G640 Large</t>
  </si>
  <si>
    <t>Сетевое зарядное устройство 65W</t>
  </si>
  <si>
    <t>Аксессуары</t>
  </si>
  <si>
    <t>Baseus</t>
  </si>
  <si>
    <t>SSD NVMe 500GB 980</t>
  </si>
  <si>
    <t>Ультрабук Swift 3 SF314-42 Silver</t>
  </si>
  <si>
    <t>Acer</t>
  </si>
  <si>
    <t>Игровая клавиатура K70 RGB</t>
  </si>
  <si>
    <t>Corsair</t>
  </si>
  <si>
    <t>Монитор 24" 24MK430H-B</t>
  </si>
  <si>
    <t>LG</t>
  </si>
  <si>
    <t>Наушники TWS Buds Pro Black</t>
  </si>
  <si>
    <t>Смарт-часы GT2 46mm Black</t>
  </si>
  <si>
    <t>Huawei</t>
  </si>
  <si>
    <t>Принтер PIXMA G3411</t>
  </si>
  <si>
    <t>Canon</t>
  </si>
  <si>
    <t>Игровой ноутбук Legion 5 15ACH6H</t>
  </si>
  <si>
    <t>Смартфон iPhone 13 128GB Midnight</t>
  </si>
  <si>
    <t>Apple</t>
  </si>
  <si>
    <t>Планшет MatePad 11 64GB Grey</t>
  </si>
  <si>
    <t>Монитор 34" Curved LC34G55T</t>
  </si>
  <si>
    <t>SSD 2TB MX500</t>
  </si>
  <si>
    <t>Crucial</t>
  </si>
  <si>
    <t>Беспроводной микрофон Wireless Go II</t>
  </si>
  <si>
    <t>Rode</t>
  </si>
  <si>
    <t>Игровой стул ErgoChair Pro</t>
  </si>
  <si>
    <t>ErgoChair</t>
  </si>
  <si>
    <t>Смарт-ламба Philips Hue White</t>
  </si>
  <si>
    <t>Умный дом</t>
  </si>
  <si>
    <t>Philips</t>
  </si>
  <si>
    <t>Карта памяти 256GB Extreme Pro</t>
  </si>
  <si>
    <t>SanDisk</t>
  </si>
  <si>
    <t>Робот-пылесос S6 MaxV</t>
  </si>
  <si>
    <t>Техника для дома</t>
  </si>
  <si>
    <t>Roborock</t>
  </si>
  <si>
    <t>SM-022B</t>
  </si>
  <si>
    <t>NB-055G</t>
  </si>
  <si>
    <t>HP-XM4B</t>
  </si>
  <si>
    <t>MN-G5C</t>
  </si>
  <si>
    <t>FB-MB6</t>
  </si>
  <si>
    <t>SD-8701T</t>
  </si>
  <si>
    <t>RT-AX50</t>
  </si>
  <si>
    <t>GM-H502</t>
  </si>
  <si>
    <t>KB-K380B</t>
  </si>
  <si>
    <t>TB-S7FG</t>
  </si>
  <si>
    <t>WS-G4S</t>
  </si>
  <si>
    <t>PT-M148</t>
  </si>
  <si>
    <t>HD-2EP</t>
  </si>
  <si>
    <t>WC-C920</t>
  </si>
  <si>
    <t>SP-XB23B</t>
  </si>
  <si>
    <t>PS-B700</t>
  </si>
  <si>
    <t>GM-G640</t>
  </si>
  <si>
    <t>PS-65W</t>
  </si>
  <si>
    <t>NV-9805</t>
  </si>
  <si>
    <t>UL-S342S</t>
  </si>
  <si>
    <t>GK-K70R</t>
  </si>
  <si>
    <t>MN-24MB</t>
  </si>
  <si>
    <t>TW-BPBL</t>
  </si>
  <si>
    <t>WS-GT2B</t>
  </si>
  <si>
    <t>PT-G3411</t>
  </si>
  <si>
    <t>GN-L5H</t>
  </si>
  <si>
    <t>SM-13M</t>
  </si>
  <si>
    <t>TB-M11G</t>
  </si>
  <si>
    <t>MN-34C</t>
  </si>
  <si>
    <t>SD-MX52T</t>
  </si>
  <si>
    <t>HP-WG2</t>
  </si>
  <si>
    <t>ST-ECP</t>
  </si>
  <si>
    <t>VC-PHW</t>
  </si>
  <si>
    <t>AC-SD256</t>
  </si>
  <si>
    <t>VC-S6V</t>
  </si>
  <si>
    <t>ЭКСПРЕСС-КУРС</t>
  </si>
  <si>
    <t>«ВПР в ДЕЙСТВИИ»</t>
  </si>
  <si>
    <t>ВПР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</si>
</sst>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Gilroy"/>
      <charset val="204"/>
    </font>
    <font>
      <sz val="11"/>
      <color theme="1"/>
      <name val="Gilroy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Gilroy"/>
      <charset val="204"/>
    </font>
    <font>
      <b/>
      <sz val="8"/>
      <color theme="0"/>
      <name val="Gilroy"/>
      <charset val="204"/>
    </font>
    <font>
      <b/>
      <u/>
      <sz val="8"/>
      <color theme="0"/>
      <name val="Gilroy"/>
      <charset val="204"/>
    </font>
    <font>
      <sz val="8"/>
      <color theme="1"/>
      <name val="Gilroy"/>
      <charset val="204"/>
    </font>
    <font>
      <b/>
      <sz val="18"/>
      <color theme="0"/>
      <name val="Gilroy Bold"/>
      <charset val="20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814BE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/>
      <right style="dotted">
        <color theme="0"/>
      </right>
      <top/>
      <bottom/>
      <diagonal/>
    </border>
    <border>
      <left style="dotted">
        <color theme="0"/>
      </left>
      <right style="dotted">
        <color theme="0"/>
      </right>
      <top/>
      <bottom/>
      <diagonal/>
    </border>
    <border>
      <left style="dotted">
        <color theme="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1" fillId="2" borderId="2" xfId="0" applyNumberFormat="1" applyFont="1" applyFill="1" applyBorder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0" fontId="4" fillId="3" borderId="0" xfId="0" applyFont="1" applyFill="1"/>
    <xf numFmtId="0" fontId="8" fillId="3" borderId="0" xfId="0" applyFont="1" applyFill="1" applyAlignment="1">
      <alignment vertical="top"/>
    </xf>
    <xf numFmtId="0" fontId="2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top"/>
    </xf>
    <xf numFmtId="0" fontId="6" fillId="3" borderId="0" xfId="1" applyFont="1" applyFill="1" applyAlignment="1">
      <alignment horizontal="left" vertical="center"/>
    </xf>
    <xf numFmtId="0" fontId="4" fillId="3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94568</xdr:colOff>
      <xdr:row>0</xdr:row>
      <xdr:rowOff>83623</xdr:rowOff>
    </xdr:from>
    <xdr:to>
      <xdr:col>0</xdr:col>
      <xdr:colOff>697292</xdr:colOff>
      <xdr:row>3</xdr:row>
      <xdr:rowOff>83623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96FF6-BEB8-4C0A-9DB6-6E2EE0B9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68" y="83623"/>
          <a:ext cx="602724" cy="515816"/>
        </a:xfrm>
        <a:prstGeom prst="rect">
          <a:avLst/>
        </a:prstGeom>
      </xdr:spPr>
    </xdr:pic>
    <xdr:clientData/>
  </xdr:twoCellAnchor>
  <xdr:twoCellAnchor editAs="oneCell">
    <xdr:from>
      <xdr:col>6</xdr:col>
      <xdr:colOff>37513</xdr:colOff>
      <xdr:row>0</xdr:row>
      <xdr:rowOff>85971</xdr:rowOff>
    </xdr:from>
    <xdr:to>
      <xdr:col>7</xdr:col>
      <xdr:colOff>140525</xdr:colOff>
      <xdr:row>3</xdr:row>
      <xdr:rowOff>39077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1DE97-507F-4D30-AC27-D0C9337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6190" y="85971"/>
          <a:ext cx="2244426" cy="468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pivikova-excel" TargetMode="External"/><Relationship Id="rId2" Type="http://schemas.openxmlformats.org/officeDocument/2006/relationships/hyperlink" Target="https://t.me/+oIzc6ApzoNBmNjRi" TargetMode="External"/><Relationship Id="rId1" Type="http://schemas.openxmlformats.org/officeDocument/2006/relationships/hyperlink" Target="https://first.excel-club.ru/?utm_source=fileintensiv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vk.com/pivikova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90" zoomScaleNormal="90" workbookViewId="0">
      <pane ySplit="6" topLeftCell="A7" activePane="bottomLeft" state="frozen"/>
      <selection pane="bottomLeft" activeCell="H13" sqref="H13"/>
    </sheetView>
  </sheetViews>
  <sheetFormatPr defaultRowHeight="14.4" x14ac:dyDescent="0.3"/>
  <cols>
    <col min="1" max="1" width="12.69921875" style="4" customWidth="1"/>
    <col min="2" max="2" width="36.296875" style="4" customWidth="1"/>
    <col min="3" max="3" width="13.5" style="9" customWidth="1"/>
    <col min="4" max="4" width="21.296875" style="4" customWidth="1"/>
    <col min="5" max="5" width="15.296875" style="4" customWidth="1"/>
    <col min="6" max="6" width="5.796875" style="4" customWidth="1"/>
    <col min="7" max="7" width="30.3984375" style="4" customWidth="1"/>
    <col min="8" max="8" width="31.69921875" style="4" customWidth="1"/>
    <col min="9" max="9" width="17.296875" style="4" customWidth="1"/>
    <col min="10" max="10" width="17.59765625" style="4" customWidth="1"/>
    <col min="11" max="11" width="8.796875" style="4" customWidth="1"/>
    <col min="12" max="16384" width="8.796875" style="4"/>
  </cols>
  <sheetData>
    <row r="1" spans="1:10" s="7" customFormat="1" ht="13.3" customHeight="1" x14ac:dyDescent="0.3">
      <c r="A1" s="10"/>
      <c r="B1" s="16" t="s">
        <v>119</v>
      </c>
      <c r="C1" s="5" t="s">
        <v>2</v>
      </c>
      <c r="D1" s="15" t="s">
        <v>3</v>
      </c>
      <c r="E1" s="15"/>
      <c r="G1" s="6"/>
    </row>
    <row r="2" spans="1:10" s="7" customFormat="1" ht="13.3" customHeight="1" x14ac:dyDescent="0.3">
      <c r="A2" s="10"/>
      <c r="B2" s="16"/>
      <c r="C2" s="5" t="s">
        <v>4</v>
      </c>
      <c r="D2" s="15" t="s">
        <v>5</v>
      </c>
      <c r="E2" s="15"/>
      <c r="G2" s="6"/>
    </row>
    <row r="3" spans="1:10" s="7" customFormat="1" ht="13.3" customHeight="1" x14ac:dyDescent="0.3">
      <c r="A3" s="11"/>
      <c r="B3" s="14" t="s">
        <v>120</v>
      </c>
      <c r="C3" s="5" t="s">
        <v>6</v>
      </c>
      <c r="D3" s="15" t="s">
        <v>7</v>
      </c>
      <c r="E3" s="15"/>
      <c r="G3" s="6"/>
    </row>
    <row r="4" spans="1:10" s="7" customFormat="1" ht="13.3" customHeight="1" x14ac:dyDescent="0.3">
      <c r="A4" s="11"/>
      <c r="B4" s="14"/>
      <c r="C4" s="5" t="s">
        <v>8</v>
      </c>
      <c r="D4" s="15" t="s">
        <v>9</v>
      </c>
      <c r="E4" s="15"/>
      <c r="G4" s="6"/>
    </row>
    <row r="6" spans="1:10" ht="27.15" customHeight="1" x14ac:dyDescent="0.3">
      <c r="A6" s="1" t="s">
        <v>0</v>
      </c>
      <c r="B6" s="2" t="s">
        <v>1</v>
      </c>
      <c r="C6" s="8" t="s">
        <v>10</v>
      </c>
      <c r="D6" s="3" t="s">
        <v>11</v>
      </c>
      <c r="E6" s="3" t="s">
        <v>12</v>
      </c>
    </row>
    <row r="7" spans="1:10" x14ac:dyDescent="0.3">
      <c r="A7" s="4" t="s">
        <v>84</v>
      </c>
      <c r="B7" s="4" t="s">
        <v>13</v>
      </c>
      <c r="C7" s="9">
        <v>79990</v>
      </c>
      <c r="D7" s="4" t="s">
        <v>14</v>
      </c>
      <c r="E7" s="4" t="s">
        <v>15</v>
      </c>
      <c r="G7" s="1" t="s">
        <v>0</v>
      </c>
      <c r="H7" s="2" t="s">
        <v>1</v>
      </c>
      <c r="I7" s="8" t="s">
        <v>10</v>
      </c>
      <c r="J7" s="3" t="s">
        <v>12</v>
      </c>
    </row>
    <row r="8" spans="1:10" x14ac:dyDescent="0.3">
      <c r="A8" s="4" t="s">
        <v>85</v>
      </c>
      <c r="B8" s="4" t="s">
        <v>16</v>
      </c>
      <c r="C8" s="9">
        <v>54990</v>
      </c>
      <c r="D8" s="4" t="s">
        <v>17</v>
      </c>
      <c r="E8" s="4" t="s">
        <v>18</v>
      </c>
      <c r="G8" s="13" t="s">
        <v>85</v>
      </c>
      <c r="H8" s="12" t="str">
        <f>VLOOKUP(G8,A6:E41,2,FALSE)</f>
        <v>Ноутбук IdeaPad 5 15ITL05 Grey</v>
      </c>
      <c r="I8" s="12">
        <f>VLOOKUP($G$8,$A$6:$E$41,3,FALSE)</f>
        <v>54990</v>
      </c>
      <c r="J8" s="12" t="str">
        <f>VLOOKUP($G$8,$A$6:$E$41,5,FALSE)</f>
        <v>Lenovo</v>
      </c>
    </row>
    <row r="9" spans="1:10" x14ac:dyDescent="0.3">
      <c r="A9" s="4" t="s">
        <v>86</v>
      </c>
      <c r="B9" s="4" t="s">
        <v>19</v>
      </c>
      <c r="C9" s="9">
        <v>23490</v>
      </c>
      <c r="D9" s="4" t="s">
        <v>20</v>
      </c>
      <c r="E9" s="4" t="s">
        <v>21</v>
      </c>
    </row>
    <row r="10" spans="1:10" x14ac:dyDescent="0.3">
      <c r="A10" s="4" t="s">
        <v>87</v>
      </c>
      <c r="B10" s="4" t="s">
        <v>22</v>
      </c>
      <c r="C10" s="9">
        <v>18990</v>
      </c>
      <c r="D10" s="4" t="s">
        <v>23</v>
      </c>
      <c r="E10" s="4" t="s">
        <v>15</v>
      </c>
    </row>
    <row r="11" spans="1:10" x14ac:dyDescent="0.3">
      <c r="A11" s="4" t="s">
        <v>88</v>
      </c>
      <c r="B11" s="4" t="s">
        <v>24</v>
      </c>
      <c r="C11" s="9">
        <v>2990</v>
      </c>
      <c r="D11" s="4" t="s">
        <v>25</v>
      </c>
      <c r="E11" s="4" t="s">
        <v>26</v>
      </c>
    </row>
    <row r="12" spans="1:10" x14ac:dyDescent="0.3">
      <c r="A12" s="4" t="s">
        <v>89</v>
      </c>
      <c r="B12" s="4" t="s">
        <v>27</v>
      </c>
      <c r="C12" s="9">
        <v>8490</v>
      </c>
      <c r="D12" s="4" t="s">
        <v>28</v>
      </c>
      <c r="E12" s="4" t="s">
        <v>15</v>
      </c>
      <c r="G12" s="2" t="s">
        <v>1</v>
      </c>
      <c r="H12" s="3" t="s">
        <v>12</v>
      </c>
    </row>
    <row r="13" spans="1:10" x14ac:dyDescent="0.3">
      <c r="A13" s="4" t="s">
        <v>90</v>
      </c>
      <c r="B13" s="4" t="s">
        <v>29</v>
      </c>
      <c r="C13" s="9">
        <v>5290</v>
      </c>
      <c r="D13" s="4" t="s">
        <v>30</v>
      </c>
      <c r="E13" s="4" t="s">
        <v>31</v>
      </c>
      <c r="G13" s="13" t="s">
        <v>61</v>
      </c>
      <c r="H13" s="17" t="str">
        <f>VLOOKUP($G$13,$B$6:$E$41,4,0)</f>
        <v>Huawei</v>
      </c>
    </row>
    <row r="14" spans="1:10" x14ac:dyDescent="0.3">
      <c r="A14" s="4" t="s">
        <v>91</v>
      </c>
      <c r="B14" s="4" t="s">
        <v>32</v>
      </c>
      <c r="C14" s="9">
        <v>4590</v>
      </c>
      <c r="D14" s="4" t="s">
        <v>33</v>
      </c>
      <c r="E14" s="4" t="s">
        <v>34</v>
      </c>
    </row>
    <row r="15" spans="1:10" x14ac:dyDescent="0.3">
      <c r="A15" s="4" t="s">
        <v>92</v>
      </c>
      <c r="B15" s="4" t="s">
        <v>35</v>
      </c>
      <c r="C15" s="9">
        <v>3290</v>
      </c>
      <c r="D15" s="4" t="s">
        <v>33</v>
      </c>
      <c r="E15" s="4" t="s">
        <v>34</v>
      </c>
    </row>
    <row r="16" spans="1:10" x14ac:dyDescent="0.3">
      <c r="A16" s="4" t="s">
        <v>93</v>
      </c>
      <c r="B16" s="4" t="s">
        <v>36</v>
      </c>
      <c r="C16" s="9">
        <v>35990</v>
      </c>
      <c r="D16" s="4" t="s">
        <v>37</v>
      </c>
      <c r="E16" s="4" t="s">
        <v>15</v>
      </c>
    </row>
    <row r="17" spans="1:7" x14ac:dyDescent="0.3">
      <c r="A17" s="4" t="s">
        <v>94</v>
      </c>
      <c r="B17" s="4" t="s">
        <v>38</v>
      </c>
      <c r="C17" s="9">
        <v>14990</v>
      </c>
      <c r="D17" s="4" t="s">
        <v>25</v>
      </c>
      <c r="E17" s="4" t="s">
        <v>15</v>
      </c>
      <c r="G17" s="4" t="s">
        <v>121</v>
      </c>
    </row>
    <row r="18" spans="1:7" x14ac:dyDescent="0.3">
      <c r="A18" s="4" t="s">
        <v>95</v>
      </c>
      <c r="B18" s="4" t="s">
        <v>39</v>
      </c>
      <c r="C18" s="9">
        <v>16490</v>
      </c>
      <c r="D18" s="4" t="s">
        <v>40</v>
      </c>
      <c r="E18" s="4" t="s">
        <v>41</v>
      </c>
    </row>
    <row r="19" spans="1:7" x14ac:dyDescent="0.3">
      <c r="A19" s="4" t="s">
        <v>96</v>
      </c>
      <c r="B19" s="4" t="s">
        <v>42</v>
      </c>
      <c r="C19" s="9">
        <v>4790</v>
      </c>
      <c r="D19" s="4" t="s">
        <v>43</v>
      </c>
      <c r="E19" s="4" t="s">
        <v>44</v>
      </c>
    </row>
    <row r="20" spans="1:7" x14ac:dyDescent="0.3">
      <c r="A20" s="4" t="s">
        <v>97</v>
      </c>
      <c r="B20" s="4" t="s">
        <v>45</v>
      </c>
      <c r="C20" s="9">
        <v>6990</v>
      </c>
      <c r="D20" s="4" t="s">
        <v>33</v>
      </c>
      <c r="E20" s="4" t="s">
        <v>34</v>
      </c>
    </row>
    <row r="21" spans="1:7" x14ac:dyDescent="0.3">
      <c r="A21" s="4" t="s">
        <v>98</v>
      </c>
      <c r="B21" s="4" t="s">
        <v>46</v>
      </c>
      <c r="C21" s="9">
        <v>5490</v>
      </c>
      <c r="D21" s="4" t="s">
        <v>20</v>
      </c>
      <c r="E21" s="4" t="s">
        <v>21</v>
      </c>
    </row>
    <row r="22" spans="1:7" x14ac:dyDescent="0.3">
      <c r="A22" s="4" t="s">
        <v>99</v>
      </c>
      <c r="B22" s="4" t="s">
        <v>47</v>
      </c>
      <c r="C22" s="9">
        <v>7290</v>
      </c>
      <c r="D22" s="4" t="s">
        <v>30</v>
      </c>
      <c r="E22" s="4" t="s">
        <v>48</v>
      </c>
    </row>
    <row r="23" spans="1:7" x14ac:dyDescent="0.3">
      <c r="A23" s="4" t="s">
        <v>100</v>
      </c>
      <c r="B23" s="4" t="s">
        <v>49</v>
      </c>
      <c r="C23" s="9">
        <v>1290</v>
      </c>
      <c r="D23" s="4" t="s">
        <v>33</v>
      </c>
      <c r="E23" s="4" t="s">
        <v>34</v>
      </c>
    </row>
    <row r="24" spans="1:7" x14ac:dyDescent="0.3">
      <c r="A24" s="4" t="s">
        <v>101</v>
      </c>
      <c r="B24" s="4" t="s">
        <v>50</v>
      </c>
      <c r="C24" s="9">
        <v>2990</v>
      </c>
      <c r="D24" s="4" t="s">
        <v>51</v>
      </c>
      <c r="E24" s="4" t="s">
        <v>52</v>
      </c>
    </row>
    <row r="25" spans="1:7" x14ac:dyDescent="0.3">
      <c r="A25" s="4" t="s">
        <v>102</v>
      </c>
      <c r="B25" s="4" t="s">
        <v>53</v>
      </c>
      <c r="C25" s="9">
        <v>5990</v>
      </c>
      <c r="D25" s="4" t="s">
        <v>28</v>
      </c>
      <c r="E25" s="4" t="s">
        <v>15</v>
      </c>
    </row>
    <row r="26" spans="1:7" x14ac:dyDescent="0.3">
      <c r="A26" s="4" t="s">
        <v>103</v>
      </c>
      <c r="B26" s="4" t="s">
        <v>54</v>
      </c>
      <c r="C26" s="9">
        <v>47990</v>
      </c>
      <c r="D26" s="4" t="s">
        <v>17</v>
      </c>
      <c r="E26" s="4" t="s">
        <v>55</v>
      </c>
    </row>
    <row r="27" spans="1:7" x14ac:dyDescent="0.3">
      <c r="A27" s="4" t="s">
        <v>104</v>
      </c>
      <c r="B27" s="4" t="s">
        <v>56</v>
      </c>
      <c r="C27" s="9">
        <v>9990</v>
      </c>
      <c r="D27" s="4" t="s">
        <v>33</v>
      </c>
      <c r="E27" s="4" t="s">
        <v>57</v>
      </c>
    </row>
    <row r="28" spans="1:7" x14ac:dyDescent="0.3">
      <c r="A28" s="4" t="s">
        <v>105</v>
      </c>
      <c r="B28" s="4" t="s">
        <v>58</v>
      </c>
      <c r="C28" s="9">
        <v>10990</v>
      </c>
      <c r="D28" s="4" t="s">
        <v>23</v>
      </c>
      <c r="E28" s="4" t="s">
        <v>59</v>
      </c>
    </row>
    <row r="29" spans="1:7" x14ac:dyDescent="0.3">
      <c r="A29" s="4" t="s">
        <v>106</v>
      </c>
      <c r="B29" s="4" t="s">
        <v>60</v>
      </c>
      <c r="C29" s="9">
        <v>7490</v>
      </c>
      <c r="D29" s="4" t="s">
        <v>20</v>
      </c>
      <c r="E29" s="4" t="s">
        <v>26</v>
      </c>
    </row>
    <row r="30" spans="1:7" x14ac:dyDescent="0.3">
      <c r="A30" s="4" t="s">
        <v>107</v>
      </c>
      <c r="B30" s="4" t="s">
        <v>61</v>
      </c>
      <c r="C30" s="9">
        <v>8990</v>
      </c>
      <c r="D30" s="4" t="s">
        <v>25</v>
      </c>
      <c r="E30" s="4" t="s">
        <v>62</v>
      </c>
    </row>
    <row r="31" spans="1:7" x14ac:dyDescent="0.3">
      <c r="A31" s="4" t="s">
        <v>108</v>
      </c>
      <c r="B31" s="4" t="s">
        <v>63</v>
      </c>
      <c r="C31" s="9">
        <v>11990</v>
      </c>
      <c r="D31" s="4" t="s">
        <v>40</v>
      </c>
      <c r="E31" s="4" t="s">
        <v>64</v>
      </c>
    </row>
    <row r="32" spans="1:7" x14ac:dyDescent="0.3">
      <c r="A32" s="4" t="s">
        <v>109</v>
      </c>
      <c r="B32" s="4" t="s">
        <v>65</v>
      </c>
      <c r="C32" s="9">
        <v>89990</v>
      </c>
      <c r="D32" s="4" t="s">
        <v>17</v>
      </c>
      <c r="E32" s="4" t="s">
        <v>18</v>
      </c>
    </row>
    <row r="33" spans="1:5" x14ac:dyDescent="0.3">
      <c r="A33" s="4" t="s">
        <v>110</v>
      </c>
      <c r="B33" s="4" t="s">
        <v>66</v>
      </c>
      <c r="C33" s="9">
        <v>69990</v>
      </c>
      <c r="D33" s="4" t="s">
        <v>14</v>
      </c>
      <c r="E33" s="4" t="s">
        <v>67</v>
      </c>
    </row>
    <row r="34" spans="1:5" x14ac:dyDescent="0.3">
      <c r="A34" s="4" t="s">
        <v>111</v>
      </c>
      <c r="B34" s="4" t="s">
        <v>68</v>
      </c>
      <c r="C34" s="9">
        <v>29990</v>
      </c>
      <c r="D34" s="4" t="s">
        <v>37</v>
      </c>
      <c r="E34" s="4" t="s">
        <v>62</v>
      </c>
    </row>
    <row r="35" spans="1:5" x14ac:dyDescent="0.3">
      <c r="A35" s="4" t="s">
        <v>112</v>
      </c>
      <c r="B35" s="4" t="s">
        <v>69</v>
      </c>
      <c r="C35" s="9">
        <v>34990</v>
      </c>
      <c r="D35" s="4" t="s">
        <v>23</v>
      </c>
      <c r="E35" s="4" t="s">
        <v>15</v>
      </c>
    </row>
    <row r="36" spans="1:5" x14ac:dyDescent="0.3">
      <c r="A36" s="4" t="s">
        <v>113</v>
      </c>
      <c r="B36" s="4" t="s">
        <v>70</v>
      </c>
      <c r="C36" s="9">
        <v>12990</v>
      </c>
      <c r="D36" s="4" t="s">
        <v>28</v>
      </c>
      <c r="E36" s="4" t="s">
        <v>71</v>
      </c>
    </row>
    <row r="37" spans="1:5" x14ac:dyDescent="0.3">
      <c r="A37" s="4" t="s">
        <v>114</v>
      </c>
      <c r="B37" s="4" t="s">
        <v>72</v>
      </c>
      <c r="C37" s="9">
        <v>22990</v>
      </c>
      <c r="D37" s="4" t="s">
        <v>20</v>
      </c>
      <c r="E37" s="4" t="s">
        <v>73</v>
      </c>
    </row>
    <row r="38" spans="1:5" x14ac:dyDescent="0.3">
      <c r="A38" s="4" t="s">
        <v>115</v>
      </c>
      <c r="B38" s="4" t="s">
        <v>74</v>
      </c>
      <c r="C38" s="9">
        <v>32490</v>
      </c>
      <c r="D38" s="4" t="s">
        <v>51</v>
      </c>
      <c r="E38" s="4" t="s">
        <v>75</v>
      </c>
    </row>
    <row r="39" spans="1:5" x14ac:dyDescent="0.3">
      <c r="A39" s="4" t="s">
        <v>116</v>
      </c>
      <c r="B39" s="4" t="s">
        <v>76</v>
      </c>
      <c r="C39" s="9">
        <v>2490</v>
      </c>
      <c r="D39" s="4" t="s">
        <v>77</v>
      </c>
      <c r="E39" s="4" t="s">
        <v>78</v>
      </c>
    </row>
    <row r="40" spans="1:5" x14ac:dyDescent="0.3">
      <c r="A40" s="4" t="s">
        <v>117</v>
      </c>
      <c r="B40" s="4" t="s">
        <v>79</v>
      </c>
      <c r="C40" s="9">
        <v>3990</v>
      </c>
      <c r="D40" s="4" t="s">
        <v>51</v>
      </c>
      <c r="E40" s="4" t="s">
        <v>80</v>
      </c>
    </row>
    <row r="41" spans="1:5" x14ac:dyDescent="0.3">
      <c r="A41" s="4" t="s">
        <v>118</v>
      </c>
      <c r="B41" s="4" t="s">
        <v>81</v>
      </c>
      <c r="C41" s="9">
        <v>39990</v>
      </c>
      <c r="D41" s="4" t="s">
        <v>82</v>
      </c>
      <c r="E41" s="4" t="s">
        <v>83</v>
      </c>
    </row>
  </sheetData>
  <mergeCells count="6">
    <mergeCell ref="B3:B4"/>
    <mergeCell ref="D1:E1"/>
    <mergeCell ref="D2:E2"/>
    <mergeCell ref="D3:E3"/>
    <mergeCell ref="D4:E4"/>
    <mergeCell ref="B1:B2"/>
  </mergeCells>
  <dataValidations count="2">
    <dataValidation type="list" allowBlank="1" showInputMessage="1" showErrorMessage="1" sqref="G8" xr:uid="{0E91490E-085B-433F-86CC-8527C46AF1BE}">
      <formula1>$A$7:$A$41</formula1>
    </dataValidation>
    <dataValidation type="list" allowBlank="1" showInputMessage="1" showErrorMessage="1" sqref="G13" xr:uid="{08520FAF-2414-455F-988E-CC86E75F7E7E}">
      <formula1>$B$7:$B$41</formula1>
    </dataValidation>
  </dataValidations>
  <hyperlinks>
    <hyperlink ref="D1" r:id="rId1" xr:uid="{B7E9E479-CD34-4F6C-B29D-8351FABBBCEC}"/>
    <hyperlink ref="D2" r:id="rId2" xr:uid="{F5DFFBA5-2B5E-4C09-AEC2-159DF6DB8EAC}"/>
    <hyperlink ref="D3" r:id="rId3" xr:uid="{6810A66C-6BD8-469A-8660-545863110F63}"/>
    <hyperlink ref="D4" r:id="rId4" xr:uid="{1590E20E-00A0-4F88-B7A2-D7E5EAA6B8F0}"/>
    <hyperlink ref="D1:E1" r:id="rId5" display="https://first.excel-club.ru" xr:uid="{18AA37BB-27FB-4B46-8ABA-50AC60D5D553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Пивикова</dc:creator>
  <cp:lastModifiedBy>Ольга Пивикова</cp:lastModifiedBy>
  <dcterms:created xsi:type="dcterms:W3CDTF">2015-06-05T18:19:34Z</dcterms:created>
  <dcterms:modified xsi:type="dcterms:W3CDTF">2025-09-04T05:52:24Z</dcterms:modified>
</cp:coreProperties>
</file>