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MY DOCUMENTS\01_БЛОГ ЭКСЕЛЬ\ExcelClub\ВПР\"/>
    </mc:Choice>
  </mc:AlternateContent>
  <xr:revisionPtr revIDLastSave="0" documentId="13_ncr:1_{15ACFBA4-2FBD-4FA9-9AF9-0784697FE3E5}" xr6:coauthVersionLast="47" xr6:coauthVersionMax="47" xr10:uidLastSave="{00000000-0000-0000-0000-000000000000}"/>
  <bookViews>
    <workbookView xWindow="-100" yWindow="-100" windowWidth="21467" windowHeight="11443" activeTab="1" xr2:uid="{00000000-000D-0000-FFFF-FFFF00000000}"/>
  </bookViews>
  <sheets>
    <sheet name="Лист1" sheetId="4" r:id="rId1"/>
    <sheet name="Лист2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3" i="1" l="1"/>
  <c r="E63" i="1"/>
  <c r="B63" i="1"/>
  <c r="G47" i="1"/>
  <c r="G48" i="1"/>
  <c r="G49" i="1"/>
  <c r="G46" i="1"/>
  <c r="C47" i="1"/>
  <c r="C48" i="1"/>
  <c r="C49" i="1"/>
  <c r="C46" i="1"/>
  <c r="E28" i="1"/>
  <c r="E29" i="1"/>
  <c r="E27" i="1"/>
  <c r="B28" i="1"/>
  <c r="B29" i="1"/>
  <c r="B27" i="1"/>
  <c r="F11" i="1"/>
  <c r="F12" i="1"/>
  <c r="F10" i="1"/>
</calcChain>
</file>

<file path=xl/sharedStrings.xml><?xml version="1.0" encoding="utf-8"?>
<sst xmlns="http://schemas.openxmlformats.org/spreadsheetml/2006/main" count="120" uniqueCount="65">
  <si>
    <t>Сайт клуба</t>
  </si>
  <si>
    <t>https://first.excel-club.ru</t>
  </si>
  <si>
    <t>ТГ-канал</t>
  </si>
  <si>
    <t>https://t.me/pivikovaexcel</t>
  </si>
  <si>
    <t>Ютуб</t>
  </si>
  <si>
    <t>https://www.youtube.com/@pivikova-excel</t>
  </si>
  <si>
    <t>Вконтакте</t>
  </si>
  <si>
    <t>https://vk.com/pivikova_excel</t>
  </si>
  <si>
    <t>Прогрессивный налог</t>
  </si>
  <si>
    <t xml:space="preserve">Мин. доход </t>
  </si>
  <si>
    <t xml:space="preserve"> Макс. доход </t>
  </si>
  <si>
    <t xml:space="preserve"> Ставка </t>
  </si>
  <si>
    <t xml:space="preserve"> ∞           </t>
  </si>
  <si>
    <t>Скидки в продажах</t>
  </si>
  <si>
    <t>Скидка</t>
  </si>
  <si>
    <t>Минимальная сумма покупки</t>
  </si>
  <si>
    <t>Классификация клиентов</t>
  </si>
  <si>
    <t>Минимальные баллы</t>
  </si>
  <si>
    <t>Категория</t>
  </si>
  <si>
    <t>Gold</t>
  </si>
  <si>
    <t>Platinum</t>
  </si>
  <si>
    <t>Bronze</t>
  </si>
  <si>
    <t>Silver</t>
  </si>
  <si>
    <t>Полное совпадение</t>
  </si>
  <si>
    <t>Диапазон значений</t>
  </si>
  <si>
    <t>Не требует сортировки</t>
  </si>
  <si>
    <t>Для чисел и дат</t>
  </si>
  <si>
    <t>Точный поиск (ЛОЖЬ)</t>
  </si>
  <si>
    <t>Приблизительный поиск (ИСТИНА)</t>
  </si>
  <si>
    <t>50 000</t>
  </si>
  <si>
    <t>200 000</t>
  </si>
  <si>
    <t>500 000</t>
  </si>
  <si>
    <t>Для текста/ID/чисел и дат</t>
  </si>
  <si>
    <t>Обязательная сортировка по возрастанию</t>
  </si>
  <si>
    <t>Принцип работы ВПР с приблизительным поиском</t>
  </si>
  <si>
    <t>Количество баллов</t>
  </si>
  <si>
    <t>Доход</t>
  </si>
  <si>
    <t>Сумма заказа</t>
  </si>
  <si>
    <t>❌ Неправильные данные</t>
  </si>
  <si>
    <t>✅ Правильные данные</t>
  </si>
  <si>
    <t>Макс. температура (°C)</t>
  </si>
  <si>
    <t>Категория риска</t>
  </si>
  <si>
    <t>Действия</t>
  </si>
  <si>
    <t>Критический</t>
  </si>
  <si>
    <t>Отключить оборудование!</t>
  </si>
  <si>
    <t>Высокий</t>
  </si>
  <si>
    <t>Включить обогрев</t>
  </si>
  <si>
    <t>Норма</t>
  </si>
  <si>
    <t>Штатный режим</t>
  </si>
  <si>
    <t>Повышенный</t>
  </si>
  <si>
    <t>Усилить вентиляцию</t>
  </si>
  <si>
    <t>Эвакуировать сервера!</t>
  </si>
  <si>
    <t>Справочник температурных режимов</t>
  </si>
  <si>
    <t>Лог температур за неделю:</t>
  </si>
  <si>
    <t>Дата</t>
  </si>
  <si>
    <t>Температура (°C)</t>
  </si>
  <si>
    <t>Контроль температуры в серверной комнате</t>
  </si>
  <si>
    <t>Ошибка 1: неправильная сортировка справочника</t>
  </si>
  <si>
    <t>Ошибка 3: текстовые значения вместо чисел</t>
  </si>
  <si>
    <t>Ошибка 2: искомое значение меньше минимального в справочнике</t>
  </si>
  <si>
    <r>
      <t>ВПР(A2;A10:C20;2;</t>
    </r>
    <r>
      <rPr>
        <b/>
        <sz val="11"/>
        <color theme="1"/>
        <rFont val="Gilroy"/>
        <charset val="204"/>
      </rPr>
      <t>ИСТИНА</t>
    </r>
    <r>
      <rPr>
        <sz val="11"/>
        <color theme="1"/>
        <rFont val="Gilroy"/>
        <charset val="204"/>
      </rPr>
      <t>)</t>
    </r>
  </si>
  <si>
    <r>
      <t>ВПР(A2;A10:C20;2;</t>
    </r>
    <r>
      <rPr>
        <b/>
        <sz val="11"/>
        <color theme="1"/>
        <rFont val="Gilroy"/>
        <charset val="204"/>
      </rPr>
      <t>ЛОЖЬ</t>
    </r>
    <r>
      <rPr>
        <sz val="11"/>
        <color theme="1"/>
        <rFont val="Gilroy"/>
        <charset val="204"/>
      </rPr>
      <t>)</t>
    </r>
  </si>
  <si>
    <t>Ключевые отличия ТОЧНОГО ПОИСКА от ПРИБЛИЗИТЕЛЬНОГО</t>
  </si>
  <si>
    <t>ЭКСПРЕСС-КУРС</t>
  </si>
  <si>
    <t>«ВПР в ДЕЙСТВИИ»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</si>
</sst>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9]mmmm\ yyyy;@"/>
    <numFmt numFmtId="165" formatCode="dd/mm/yy\ h:mm;@"/>
  </numFmts>
  <fonts count="17" x14ac:knownFonts="1">
    <font>
      <sz val="11"/>
      <color theme="1"/>
      <name val="Calibri"/>
      <family val="2"/>
      <scheme val="minor"/>
    </font>
    <font>
      <sz val="11"/>
      <color theme="0"/>
      <name val="Gilroy"/>
      <charset val="204"/>
    </font>
    <font>
      <sz val="11"/>
      <color theme="1"/>
      <name val="Gilroy"/>
      <charset val="204"/>
    </font>
    <font>
      <u/>
      <sz val="11"/>
      <color theme="10"/>
      <name val="Calibri"/>
      <family val="2"/>
      <scheme val="minor"/>
    </font>
    <font>
      <b/>
      <sz val="12"/>
      <color theme="1"/>
      <name val="Gilroy"/>
      <charset val="204"/>
    </font>
    <font>
      <b/>
      <sz val="8"/>
      <color theme="0"/>
      <name val="Gilroy"/>
      <charset val="204"/>
    </font>
    <font>
      <b/>
      <u/>
      <sz val="8"/>
      <color theme="0"/>
      <name val="Gilroy"/>
      <charset val="204"/>
    </font>
    <font>
      <sz val="8"/>
      <color theme="1"/>
      <name val="Gilroy"/>
      <charset val="204"/>
    </font>
    <font>
      <b/>
      <sz val="18"/>
      <color theme="0"/>
      <name val="Gilroy Bold"/>
      <charset val="204"/>
    </font>
    <font>
      <b/>
      <sz val="11"/>
      <color theme="1"/>
      <name val="Gilroy"/>
      <charset val="204"/>
    </font>
    <font>
      <sz val="11"/>
      <color theme="1"/>
      <name val="Calibri"/>
      <family val="2"/>
      <scheme val="minor"/>
    </font>
    <font>
      <sz val="7"/>
      <color rgb="FF494949"/>
      <name val="Courier New"/>
      <family val="3"/>
      <charset val="204"/>
    </font>
    <font>
      <b/>
      <sz val="11"/>
      <color theme="5" tint="-0.249977111117893"/>
      <name val="Gilroy"/>
      <charset val="204"/>
    </font>
    <font>
      <b/>
      <sz val="11"/>
      <color rgb="FF00B050"/>
      <name val="Gilroy"/>
      <charset val="204"/>
    </font>
    <font>
      <b/>
      <sz val="11"/>
      <color theme="0"/>
      <name val="Gilroy"/>
      <charset val="204"/>
    </font>
    <font>
      <sz val="11"/>
      <color theme="1"/>
      <name val="Gilroy"/>
      <charset val="204"/>
    </font>
    <font>
      <sz val="11"/>
      <color rgb="FFFF0000"/>
      <name val="Gilroy"/>
      <charset val="204"/>
    </font>
  </fonts>
  <fills count="9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814BE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dotted">
        <color theme="0"/>
      </left>
      <right style="dotted">
        <color theme="0"/>
      </right>
      <top/>
      <bottom style="dotted">
        <color theme="0"/>
      </bottom>
      <diagonal/>
    </border>
    <border>
      <left style="dotted">
        <color theme="0"/>
      </left>
      <right style="dashed">
        <color theme="0"/>
      </right>
      <top/>
      <bottom style="dotted">
        <color theme="0"/>
      </bottom>
      <diagonal/>
    </border>
    <border>
      <left style="dashed">
        <color theme="0"/>
      </left>
      <right style="dotted">
        <color theme="0"/>
      </right>
      <top/>
      <bottom style="dotted">
        <color theme="0"/>
      </bottom>
      <diagonal/>
    </border>
    <border>
      <left/>
      <right style="dotted">
        <color theme="0"/>
      </right>
      <top style="dotted">
        <color theme="0"/>
      </top>
      <bottom style="dotted">
        <color theme="0"/>
      </bottom>
      <diagonal/>
    </border>
    <border>
      <left style="dotted">
        <color theme="0"/>
      </left>
      <right/>
      <top style="dotted">
        <color theme="0"/>
      </top>
      <bottom style="dotted">
        <color theme="0"/>
      </bottom>
      <diagonal/>
    </border>
    <border>
      <left/>
      <right style="dotted">
        <color theme="0"/>
      </right>
      <top style="dotted">
        <color theme="0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9" fontId="10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0" applyFont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3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" fontId="2" fillId="0" borderId="0" xfId="0" applyNumberFormat="1" applyFont="1" applyAlignment="1">
      <alignment horizontal="left" vertical="center"/>
    </xf>
    <xf numFmtId="0" fontId="11" fillId="0" borderId="0" xfId="0" applyFont="1" applyAlignment="1">
      <alignment vertical="center"/>
    </xf>
    <xf numFmtId="9" fontId="2" fillId="0" borderId="0" xfId="0" applyNumberFormat="1" applyFont="1" applyAlignment="1">
      <alignment horizontal="left" vertical="center"/>
    </xf>
    <xf numFmtId="0" fontId="1" fillId="2" borderId="1" xfId="0" applyFont="1" applyFill="1" applyBorder="1" applyAlignment="1">
      <alignment vertical="center" wrapText="1"/>
    </xf>
    <xf numFmtId="9" fontId="2" fillId="0" borderId="0" xfId="2" applyFont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3" fontId="2" fillId="4" borderId="0" xfId="0" applyNumberFormat="1" applyFont="1" applyFill="1" applyAlignment="1">
      <alignment horizontal="center" vertical="center" wrapText="1"/>
    </xf>
    <xf numFmtId="9" fontId="2" fillId="4" borderId="0" xfId="2" applyFont="1" applyFill="1" applyAlignment="1">
      <alignment horizontal="center" vertical="center" wrapText="1"/>
    </xf>
    <xf numFmtId="164" fontId="9" fillId="6" borderId="0" xfId="0" applyNumberFormat="1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4" fontId="2" fillId="6" borderId="0" xfId="0" applyNumberFormat="1" applyFont="1" applyFill="1" applyAlignment="1">
      <alignment horizontal="left" vertical="center"/>
    </xf>
    <xf numFmtId="0" fontId="2" fillId="6" borderId="0" xfId="0" applyFont="1" applyFill="1" applyAlignment="1">
      <alignment horizontal="center" vertical="center" wrapText="1"/>
    </xf>
    <xf numFmtId="164" fontId="9" fillId="0" borderId="0" xfId="0" applyNumberFormat="1" applyFont="1" applyAlignment="1">
      <alignment horizontal="left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64" fontId="14" fillId="3" borderId="0" xfId="0" applyNumberFormat="1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4" fontId="1" fillId="3" borderId="0" xfId="0" applyNumberFormat="1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165" fontId="2" fillId="0" borderId="0" xfId="0" applyNumberFormat="1" applyFont="1" applyAlignment="1">
      <alignment horizontal="left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left" vertical="center" wrapText="1"/>
    </xf>
    <xf numFmtId="0" fontId="15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3" fontId="2" fillId="4" borderId="4" xfId="0" applyNumberFormat="1" applyFont="1" applyFill="1" applyBorder="1" applyAlignment="1">
      <alignment horizontal="center" vertical="center" wrapText="1"/>
    </xf>
    <xf numFmtId="9" fontId="2" fillId="4" borderId="5" xfId="2" applyFont="1" applyFill="1" applyBorder="1" applyAlignment="1">
      <alignment horizontal="center" vertical="center" wrapText="1"/>
    </xf>
    <xf numFmtId="3" fontId="2" fillId="4" borderId="6" xfId="0" applyNumberFormat="1" applyFont="1" applyFill="1" applyBorder="1" applyAlignment="1">
      <alignment horizontal="center" vertical="center" wrapText="1"/>
    </xf>
    <xf numFmtId="9" fontId="16" fillId="4" borderId="5" xfId="2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4" fillId="3" borderId="0" xfId="0" applyFont="1" applyFill="1" applyAlignment="1">
      <alignment horizontal="left" indent="7"/>
    </xf>
    <xf numFmtId="0" fontId="6" fillId="3" borderId="0" xfId="1" applyFont="1" applyFill="1" applyAlignment="1">
      <alignment horizontal="left" vertical="center"/>
    </xf>
    <xf numFmtId="0" fontId="8" fillId="3" borderId="0" xfId="0" applyFont="1" applyFill="1" applyAlignment="1">
      <alignment horizontal="left" vertical="top" indent="7"/>
    </xf>
    <xf numFmtId="0" fontId="12" fillId="7" borderId="0" xfId="0" applyFont="1" applyFill="1" applyAlignment="1">
      <alignment horizontal="center" vertical="center" wrapText="1"/>
    </xf>
    <xf numFmtId="0" fontId="13" fillId="8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</cellXfs>
  <cellStyles count="3">
    <cellStyle name="Гиперссылка" xfId="1" builtinId="8"/>
    <cellStyle name="Обычный" xfId="0" builtinId="0"/>
    <cellStyle name="Процентный" xfId="2" builtinId="5"/>
  </cellStyles>
  <dxfs count="0"/>
  <tableStyles count="0" defaultTableStyle="TableStyleMedium2" defaultPivotStyle="PivotStyleLight16"/>
  <colors>
    <mruColors>
      <color rgb="FF814BEA"/>
      <color rgb="FFD5C4F8"/>
      <color rgb="FFECE4FC"/>
      <color rgb="FFA6D86E"/>
      <color rgb="FF89CC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first.excel-club.ru/?utm_source=vpr&amp;utm_medium=file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png"/><Relationship Id="rId1" Type="http://schemas.openxmlformats.org/officeDocument/2006/relationships/hyperlink" Target="https://first.excel-club.ru/?utm_source=vpr&amp;utm_medium=file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94568</xdr:colOff>
      <xdr:row>0</xdr:row>
      <xdr:rowOff>52362</xdr:rowOff>
    </xdr:from>
    <xdr:to>
      <xdr:col>0</xdr:col>
      <xdr:colOff>697292</xdr:colOff>
      <xdr:row>3</xdr:row>
      <xdr:rowOff>10159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C0FB32-03A1-46AE-BA52-5935DB7E7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568" y="52362"/>
          <a:ext cx="602724" cy="506437"/>
        </a:xfrm>
        <a:prstGeom prst="rect">
          <a:avLst/>
        </a:prstGeom>
      </xdr:spPr>
    </xdr:pic>
    <xdr:clientData/>
  </xdr:twoCellAnchor>
  <xdr:twoCellAnchor editAs="oneCell">
    <xdr:from>
      <xdr:col>5</xdr:col>
      <xdr:colOff>593187</xdr:colOff>
      <xdr:row>0</xdr:row>
      <xdr:rowOff>93005</xdr:rowOff>
    </xdr:from>
    <xdr:to>
      <xdr:col>9</xdr:col>
      <xdr:colOff>359355</xdr:colOff>
      <xdr:row>3</xdr:row>
      <xdr:rowOff>3908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D86482-1CC7-40CD-A89F-0BA490A14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29224" y="93005"/>
          <a:ext cx="2242082" cy="4173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94568</xdr:colOff>
      <xdr:row>0</xdr:row>
      <xdr:rowOff>52362</xdr:rowOff>
    </xdr:from>
    <xdr:to>
      <xdr:col>0</xdr:col>
      <xdr:colOff>697292</xdr:colOff>
      <xdr:row>3</xdr:row>
      <xdr:rowOff>52362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096FF6-BEB8-4C0A-9DB6-6E2EE0B9A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568" y="52362"/>
          <a:ext cx="602724" cy="515816"/>
        </a:xfrm>
        <a:prstGeom prst="rect">
          <a:avLst/>
        </a:prstGeom>
      </xdr:spPr>
    </xdr:pic>
    <xdr:clientData/>
  </xdr:twoCellAnchor>
  <xdr:twoCellAnchor editAs="oneCell">
    <xdr:from>
      <xdr:col>7</xdr:col>
      <xdr:colOff>37513</xdr:colOff>
      <xdr:row>0</xdr:row>
      <xdr:rowOff>85971</xdr:rowOff>
    </xdr:from>
    <xdr:to>
      <xdr:col>8</xdr:col>
      <xdr:colOff>781385</xdr:colOff>
      <xdr:row>3</xdr:row>
      <xdr:rowOff>39077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E1DE97-507F-4D30-AC27-D0C93370F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6190" y="85971"/>
          <a:ext cx="2244426" cy="4689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@pivikova-excel" TargetMode="External"/><Relationship Id="rId2" Type="http://schemas.openxmlformats.org/officeDocument/2006/relationships/hyperlink" Target="https://t.me/+oIzc6ApzoNBmNjRi" TargetMode="External"/><Relationship Id="rId1" Type="http://schemas.openxmlformats.org/officeDocument/2006/relationships/hyperlink" Target="https://first.excel-club.ru/?utm_source=fileintensiv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first.excel-club.ru/?utm_source=vpr&amp;utm_medium=file" TargetMode="External"/><Relationship Id="rId4" Type="http://schemas.openxmlformats.org/officeDocument/2006/relationships/hyperlink" Target="https://vk.com/pivikova_exce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@pivikova-excel" TargetMode="External"/><Relationship Id="rId2" Type="http://schemas.openxmlformats.org/officeDocument/2006/relationships/hyperlink" Target="https://t.me/+oIzc6ApzoNBmNjRi" TargetMode="External"/><Relationship Id="rId1" Type="http://schemas.openxmlformats.org/officeDocument/2006/relationships/hyperlink" Target="https://first.excel-club.ru/?utm_source=fileintensiv" TargetMode="External"/><Relationship Id="rId6" Type="http://schemas.openxmlformats.org/officeDocument/2006/relationships/drawing" Target="../drawings/drawing2.xml"/><Relationship Id="rId5" Type="http://schemas.openxmlformats.org/officeDocument/2006/relationships/hyperlink" Target="https://first.excel-club.ru/?utm_source=vpr&amp;utm_medium=file" TargetMode="External"/><Relationship Id="rId4" Type="http://schemas.openxmlformats.org/officeDocument/2006/relationships/hyperlink" Target="https://vk.com/pivikova_exc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D0761-B6EE-49E3-BAED-A8F151CB6C2C}">
  <dimension ref="A1:H11"/>
  <sheetViews>
    <sheetView zoomScaleNormal="100" workbookViewId="0">
      <selection activeCell="B11" sqref="B11"/>
    </sheetView>
  </sheetViews>
  <sheetFormatPr defaultRowHeight="14.4" x14ac:dyDescent="0.3"/>
  <cols>
    <col min="1" max="1" width="33.796875" customWidth="1"/>
    <col min="2" max="2" width="42.69921875" customWidth="1"/>
    <col min="3" max="3" width="15.296875" customWidth="1"/>
    <col min="4" max="4" width="23.59765625" customWidth="1"/>
  </cols>
  <sheetData>
    <row r="1" spans="1:8" s="4" customFormat="1" ht="13.3" customHeight="1" x14ac:dyDescent="0.3">
      <c r="A1" s="39" t="s">
        <v>63</v>
      </c>
      <c r="B1" s="39"/>
      <c r="C1" s="2" t="s">
        <v>0</v>
      </c>
      <c r="D1" s="40" t="s">
        <v>1</v>
      </c>
      <c r="E1" s="40"/>
      <c r="F1" s="12"/>
      <c r="H1" s="3"/>
    </row>
    <row r="2" spans="1:8" s="4" customFormat="1" ht="13.3" customHeight="1" x14ac:dyDescent="0.3">
      <c r="A2" s="39"/>
      <c r="B2" s="39"/>
      <c r="C2" s="2" t="s">
        <v>2</v>
      </c>
      <c r="D2" s="40" t="s">
        <v>3</v>
      </c>
      <c r="E2" s="40"/>
      <c r="F2" s="12"/>
      <c r="H2" s="3"/>
    </row>
    <row r="3" spans="1:8" s="4" customFormat="1" ht="13.3" customHeight="1" x14ac:dyDescent="0.3">
      <c r="A3" s="41" t="s">
        <v>64</v>
      </c>
      <c r="B3" s="41"/>
      <c r="C3" s="2" t="s">
        <v>4</v>
      </c>
      <c r="D3" s="40" t="s">
        <v>5</v>
      </c>
      <c r="E3" s="40"/>
      <c r="F3" s="12"/>
      <c r="H3" s="3"/>
    </row>
    <row r="4" spans="1:8" s="4" customFormat="1" ht="13.3" customHeight="1" x14ac:dyDescent="0.3">
      <c r="A4" s="41"/>
      <c r="B4" s="41"/>
      <c r="C4" s="2" t="s">
        <v>6</v>
      </c>
      <c r="D4" s="40" t="s">
        <v>7</v>
      </c>
      <c r="E4" s="40"/>
      <c r="F4" s="12"/>
      <c r="H4" s="3"/>
    </row>
    <row r="6" spans="1:8" ht="21.6" customHeight="1" x14ac:dyDescent="0.3">
      <c r="A6" s="38" t="s">
        <v>62</v>
      </c>
      <c r="B6" s="38"/>
    </row>
    <row r="7" spans="1:8" ht="22.15" customHeight="1" x14ac:dyDescent="0.3">
      <c r="A7" s="10" t="s">
        <v>27</v>
      </c>
      <c r="B7" s="10" t="s">
        <v>28</v>
      </c>
    </row>
    <row r="8" spans="1:8" ht="17.2" customHeight="1" x14ac:dyDescent="0.3">
      <c r="A8" s="1" t="s">
        <v>61</v>
      </c>
      <c r="B8" s="1" t="s">
        <v>60</v>
      </c>
    </row>
    <row r="9" spans="1:8" ht="19.399999999999999" customHeight="1" x14ac:dyDescent="0.3">
      <c r="A9" s="1" t="s">
        <v>23</v>
      </c>
      <c r="B9" s="1" t="s">
        <v>24</v>
      </c>
    </row>
    <row r="10" spans="1:8" ht="19.399999999999999" customHeight="1" x14ac:dyDescent="0.3">
      <c r="A10" s="1" t="s">
        <v>25</v>
      </c>
      <c r="B10" s="1" t="s">
        <v>33</v>
      </c>
    </row>
    <row r="11" spans="1:8" ht="19.399999999999999" customHeight="1" x14ac:dyDescent="0.3">
      <c r="A11" s="1" t="s">
        <v>32</v>
      </c>
      <c r="B11" s="1" t="s">
        <v>26</v>
      </c>
    </row>
  </sheetData>
  <mergeCells count="7">
    <mergeCell ref="A6:B6"/>
    <mergeCell ref="A1:B2"/>
    <mergeCell ref="D1:E1"/>
    <mergeCell ref="D2:E2"/>
    <mergeCell ref="A3:B4"/>
    <mergeCell ref="D3:E3"/>
    <mergeCell ref="D4:E4"/>
  </mergeCells>
  <hyperlinks>
    <hyperlink ref="D1" r:id="rId1" xr:uid="{D158A5CF-7471-4650-AA50-648D03ADE443}"/>
    <hyperlink ref="D2" r:id="rId2" xr:uid="{0E9999BE-A6BA-4CAA-A39F-22BB7159C1B3}"/>
    <hyperlink ref="D3" r:id="rId3" xr:uid="{912F33E3-1489-404D-B40C-F2BB6A3B4C3B}"/>
    <hyperlink ref="D4" r:id="rId4" xr:uid="{9C9C5159-E6B4-4D15-91F2-25C710149E27}"/>
    <hyperlink ref="D1:E1" r:id="rId5" display="https://first.excel-club.ru" xr:uid="{7480A530-C29F-4047-84C7-99852B944221}"/>
  </hyperlink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tabSelected="1" zoomScale="90" zoomScaleNormal="90" workbookViewId="0">
      <selection activeCell="D14" sqref="D14"/>
    </sheetView>
  </sheetViews>
  <sheetFormatPr defaultRowHeight="14.4" x14ac:dyDescent="0.3"/>
  <cols>
    <col min="1" max="2" width="20.59765625" style="1" customWidth="1"/>
    <col min="3" max="3" width="20.59765625" style="5" customWidth="1"/>
    <col min="4" max="4" width="20.59765625" style="1" customWidth="1"/>
    <col min="5" max="5" width="21" style="13" customWidth="1"/>
    <col min="6" max="6" width="16.69921875" style="13" customWidth="1"/>
    <col min="7" max="7" width="24.296875" style="1" customWidth="1"/>
    <col min="8" max="8" width="21.296875" style="1" customWidth="1"/>
    <col min="9" max="9" width="20.3984375" style="1" customWidth="1"/>
    <col min="10" max="10" width="17.296875" style="1" customWidth="1"/>
    <col min="11" max="11" width="17.59765625" style="1" customWidth="1"/>
    <col min="12" max="12" width="8.796875" style="1" customWidth="1"/>
    <col min="13" max="16384" width="8.796875" style="1"/>
  </cols>
  <sheetData>
    <row r="1" spans="1:8" s="4" customFormat="1" ht="13.3" customHeight="1" x14ac:dyDescent="0.3">
      <c r="A1" s="39" t="s">
        <v>63</v>
      </c>
      <c r="B1" s="39"/>
      <c r="C1" s="2" t="s">
        <v>0</v>
      </c>
      <c r="D1" s="40" t="s">
        <v>1</v>
      </c>
      <c r="E1" s="40"/>
      <c r="F1" s="12"/>
      <c r="H1" s="3"/>
    </row>
    <row r="2" spans="1:8" s="4" customFormat="1" ht="13.3" customHeight="1" x14ac:dyDescent="0.3">
      <c r="A2" s="39"/>
      <c r="B2" s="39"/>
      <c r="C2" s="2" t="s">
        <v>2</v>
      </c>
      <c r="D2" s="40" t="s">
        <v>3</v>
      </c>
      <c r="E2" s="40"/>
      <c r="F2" s="12"/>
      <c r="H2" s="3"/>
    </row>
    <row r="3" spans="1:8" s="4" customFormat="1" ht="13.3" customHeight="1" x14ac:dyDescent="0.3">
      <c r="A3" s="41" t="s">
        <v>64</v>
      </c>
      <c r="B3" s="41"/>
      <c r="C3" s="2" t="s">
        <v>4</v>
      </c>
      <c r="D3" s="40" t="s">
        <v>5</v>
      </c>
      <c r="E3" s="40"/>
      <c r="F3" s="12"/>
      <c r="H3" s="3"/>
    </row>
    <row r="4" spans="1:8" s="4" customFormat="1" ht="13.3" customHeight="1" x14ac:dyDescent="0.3">
      <c r="A4" s="41"/>
      <c r="B4" s="41"/>
      <c r="C4" s="2" t="s">
        <v>6</v>
      </c>
      <c r="D4" s="40" t="s">
        <v>7</v>
      </c>
      <c r="E4" s="40"/>
      <c r="F4" s="12"/>
      <c r="H4" s="3"/>
    </row>
    <row r="5" spans="1:8" ht="28.8" customHeight="1" x14ac:dyDescent="0.3"/>
    <row r="6" spans="1:8" s="25" customFormat="1" ht="19.95" customHeight="1" x14ac:dyDescent="0.3">
      <c r="A6" s="24" t="s">
        <v>34</v>
      </c>
      <c r="C6" s="26"/>
    </row>
    <row r="7" spans="1:8" s="18" customFormat="1" x14ac:dyDescent="0.3">
      <c r="A7" s="17" t="s">
        <v>8</v>
      </c>
      <c r="C7" s="19"/>
      <c r="E7" s="20"/>
      <c r="F7" s="20"/>
    </row>
    <row r="8" spans="1:8" x14ac:dyDescent="0.3">
      <c r="A8" s="21"/>
      <c r="C8" s="7"/>
    </row>
    <row r="9" spans="1:8" ht="23.85" customHeight="1" x14ac:dyDescent="0.3">
      <c r="A9" s="10" t="s">
        <v>9</v>
      </c>
      <c r="B9" s="10" t="s">
        <v>10</v>
      </c>
      <c r="C9" s="10" t="s">
        <v>11</v>
      </c>
      <c r="E9" s="14" t="s">
        <v>36</v>
      </c>
      <c r="F9" s="14" t="s">
        <v>11</v>
      </c>
    </row>
    <row r="10" spans="1:8" x14ac:dyDescent="0.3">
      <c r="A10" s="1">
        <v>0</v>
      </c>
      <c r="B10" s="5">
        <v>150000</v>
      </c>
      <c r="C10" s="9">
        <v>0.1</v>
      </c>
      <c r="E10" s="15">
        <v>140000</v>
      </c>
      <c r="F10" s="16">
        <f>VLOOKUP(E10,$A$9:$C$13,3,1)</f>
        <v>0.1</v>
      </c>
    </row>
    <row r="11" spans="1:8" x14ac:dyDescent="0.3">
      <c r="A11" s="5">
        <v>150001</v>
      </c>
      <c r="B11" s="5">
        <v>500000</v>
      </c>
      <c r="C11" s="9">
        <v>0.15</v>
      </c>
      <c r="E11" s="15">
        <v>600000</v>
      </c>
      <c r="F11" s="16">
        <f t="shared" ref="F11:F12" si="0">VLOOKUP(E11,$A$9:$C$13,3,1)</f>
        <v>0.2</v>
      </c>
    </row>
    <row r="12" spans="1:8" x14ac:dyDescent="0.3">
      <c r="A12" s="5">
        <v>500001</v>
      </c>
      <c r="B12" s="5">
        <v>1000000</v>
      </c>
      <c r="C12" s="9">
        <v>0.2</v>
      </c>
      <c r="E12" s="15">
        <v>14000000</v>
      </c>
      <c r="F12" s="16">
        <f t="shared" si="0"/>
        <v>0.25</v>
      </c>
    </row>
    <row r="13" spans="1:8" x14ac:dyDescent="0.3">
      <c r="A13" s="5">
        <v>1000001</v>
      </c>
      <c r="B13" s="5" t="s">
        <v>12</v>
      </c>
      <c r="C13" s="9">
        <v>0.25</v>
      </c>
    </row>
    <row r="14" spans="1:8" x14ac:dyDescent="0.3">
      <c r="A14" s="8"/>
      <c r="C14" s="1"/>
    </row>
    <row r="15" spans="1:8" x14ac:dyDescent="0.3">
      <c r="A15" s="8"/>
      <c r="C15" s="1"/>
    </row>
    <row r="16" spans="1:8" s="25" customFormat="1" ht="19.95" customHeight="1" x14ac:dyDescent="0.3">
      <c r="A16" s="24" t="s">
        <v>57</v>
      </c>
      <c r="C16" s="26"/>
    </row>
    <row r="17" spans="1:6" s="18" customFormat="1" x14ac:dyDescent="0.3">
      <c r="A17" s="17" t="s">
        <v>16</v>
      </c>
      <c r="C17" s="19"/>
      <c r="E17" s="20"/>
      <c r="F17" s="20"/>
    </row>
    <row r="18" spans="1:6" x14ac:dyDescent="0.3">
      <c r="A18" s="21"/>
      <c r="C18" s="7"/>
    </row>
    <row r="19" spans="1:6" ht="18.850000000000001" customHeight="1" x14ac:dyDescent="0.3">
      <c r="A19" s="42" t="s">
        <v>38</v>
      </c>
      <c r="B19" s="42"/>
      <c r="C19" s="7"/>
      <c r="D19" s="43" t="s">
        <v>39</v>
      </c>
      <c r="E19" s="43"/>
    </row>
    <row r="20" spans="1:6" ht="26.6" customHeight="1" x14ac:dyDescent="0.3">
      <c r="A20" s="22" t="s">
        <v>17</v>
      </c>
      <c r="B20" s="23" t="s">
        <v>18</v>
      </c>
      <c r="D20" s="22" t="s">
        <v>17</v>
      </c>
      <c r="E20" s="23" t="s">
        <v>18</v>
      </c>
      <c r="F20" s="1"/>
    </row>
    <row r="21" spans="1:6" x14ac:dyDescent="0.3">
      <c r="A21" s="1">
        <v>0</v>
      </c>
      <c r="B21" s="1" t="s">
        <v>21</v>
      </c>
      <c r="D21" s="1">
        <v>0</v>
      </c>
      <c r="E21" s="1" t="s">
        <v>21</v>
      </c>
      <c r="F21" s="1"/>
    </row>
    <row r="22" spans="1:6" x14ac:dyDescent="0.3">
      <c r="A22" s="1">
        <v>85</v>
      </c>
      <c r="B22" s="1" t="s">
        <v>19</v>
      </c>
      <c r="D22" s="1">
        <v>70</v>
      </c>
      <c r="E22" s="1" t="s">
        <v>22</v>
      </c>
      <c r="F22" s="1"/>
    </row>
    <row r="23" spans="1:6" x14ac:dyDescent="0.3">
      <c r="A23" s="1">
        <v>70</v>
      </c>
      <c r="B23" s="1" t="s">
        <v>22</v>
      </c>
      <c r="D23" s="1">
        <v>85</v>
      </c>
      <c r="E23" s="1" t="s">
        <v>19</v>
      </c>
      <c r="F23" s="1"/>
    </row>
    <row r="24" spans="1:6" x14ac:dyDescent="0.3">
      <c r="A24" s="1">
        <v>95</v>
      </c>
      <c r="B24" s="1" t="s">
        <v>20</v>
      </c>
      <c r="D24" s="1">
        <v>95</v>
      </c>
      <c r="E24" s="1" t="s">
        <v>20</v>
      </c>
      <c r="F24" s="1"/>
    </row>
    <row r="25" spans="1:6" x14ac:dyDescent="0.3">
      <c r="E25" s="1"/>
    </row>
    <row r="26" spans="1:6" ht="20.5" customHeight="1" x14ac:dyDescent="0.3">
      <c r="A26" s="14" t="s">
        <v>35</v>
      </c>
      <c r="B26" s="14" t="s">
        <v>18</v>
      </c>
      <c r="D26" s="14" t="s">
        <v>35</v>
      </c>
      <c r="E26" s="14" t="s">
        <v>18</v>
      </c>
    </row>
    <row r="27" spans="1:6" x14ac:dyDescent="0.3">
      <c r="A27" s="34">
        <v>80</v>
      </c>
      <c r="B27" s="37" t="str">
        <f>VLOOKUP(A27,$A$20:$B$24,2)</f>
        <v>Bronze</v>
      </c>
      <c r="D27" s="34">
        <v>80</v>
      </c>
      <c r="E27" s="35" t="str">
        <f>VLOOKUP(D27,$D$20:$E$24,2)</f>
        <v>Silver</v>
      </c>
    </row>
    <row r="28" spans="1:6" x14ac:dyDescent="0.3">
      <c r="A28" s="36">
        <v>86</v>
      </c>
      <c r="B28" s="37" t="str">
        <f t="shared" ref="B28:B29" si="1">VLOOKUP(A28,$A$20:$B$24,2)</f>
        <v>Silver</v>
      </c>
      <c r="D28" s="36">
        <v>86</v>
      </c>
      <c r="E28" s="35" t="str">
        <f t="shared" ref="E28:E29" si="2">VLOOKUP(D28,$D$20:$E$24,2)</f>
        <v>Gold</v>
      </c>
    </row>
    <row r="29" spans="1:6" x14ac:dyDescent="0.3">
      <c r="A29" s="36">
        <v>98</v>
      </c>
      <c r="B29" s="35" t="str">
        <f t="shared" si="1"/>
        <v>Platinum</v>
      </c>
      <c r="D29" s="36">
        <v>98</v>
      </c>
      <c r="E29" s="35" t="str">
        <f t="shared" si="2"/>
        <v>Platinum</v>
      </c>
    </row>
    <row r="32" spans="1:6" s="25" customFormat="1" ht="19.95" customHeight="1" x14ac:dyDescent="0.3">
      <c r="A32" s="24" t="s">
        <v>59</v>
      </c>
      <c r="C32" s="26"/>
    </row>
    <row r="33" spans="1:7" s="18" customFormat="1" x14ac:dyDescent="0.3">
      <c r="A33" s="17" t="s">
        <v>56</v>
      </c>
      <c r="C33" s="19"/>
      <c r="E33" s="20"/>
      <c r="F33" s="20"/>
    </row>
    <row r="34" spans="1:7" x14ac:dyDescent="0.3">
      <c r="A34" s="21"/>
      <c r="C34" s="7"/>
    </row>
    <row r="35" spans="1:7" ht="18.850000000000001" customHeight="1" x14ac:dyDescent="0.3">
      <c r="A35" s="42" t="s">
        <v>38</v>
      </c>
      <c r="B35" s="42"/>
      <c r="C35" s="42"/>
      <c r="D35" s="33"/>
      <c r="E35" s="43" t="s">
        <v>39</v>
      </c>
      <c r="F35" s="43"/>
      <c r="G35" s="43"/>
    </row>
    <row r="36" spans="1:7" ht="20.5" customHeight="1" x14ac:dyDescent="0.3">
      <c r="A36" s="44" t="s">
        <v>52</v>
      </c>
      <c r="B36" s="44"/>
      <c r="C36" s="44"/>
      <c r="E36" s="44" t="s">
        <v>52</v>
      </c>
      <c r="F36" s="44"/>
      <c r="G36" s="44"/>
    </row>
    <row r="37" spans="1:7" ht="28.8" x14ac:dyDescent="0.3">
      <c r="A37" s="22" t="s">
        <v>40</v>
      </c>
      <c r="B37" s="22" t="s">
        <v>41</v>
      </c>
      <c r="C37" s="22" t="s">
        <v>42</v>
      </c>
      <c r="E37" s="22" t="s">
        <v>40</v>
      </c>
      <c r="F37" s="22" t="s">
        <v>41</v>
      </c>
      <c r="G37" s="22" t="s">
        <v>42</v>
      </c>
    </row>
    <row r="38" spans="1:7" x14ac:dyDescent="0.3">
      <c r="A38" s="28">
        <v>-10</v>
      </c>
      <c r="B38" s="27" t="s">
        <v>43</v>
      </c>
      <c r="C38" s="1" t="s">
        <v>44</v>
      </c>
      <c r="E38" s="28">
        <v>-50</v>
      </c>
      <c r="F38" s="27" t="s">
        <v>43</v>
      </c>
      <c r="G38" s="1" t="s">
        <v>44</v>
      </c>
    </row>
    <row r="39" spans="1:7" x14ac:dyDescent="0.3">
      <c r="A39" s="28">
        <v>0</v>
      </c>
      <c r="B39" s="27" t="s">
        <v>45</v>
      </c>
      <c r="C39" s="1" t="s">
        <v>46</v>
      </c>
      <c r="E39" s="28">
        <v>0</v>
      </c>
      <c r="F39" s="27" t="s">
        <v>45</v>
      </c>
      <c r="G39" s="1" t="s">
        <v>46</v>
      </c>
    </row>
    <row r="40" spans="1:7" x14ac:dyDescent="0.3">
      <c r="A40" s="28">
        <v>25</v>
      </c>
      <c r="B40" s="27" t="s">
        <v>47</v>
      </c>
      <c r="C40" s="1" t="s">
        <v>48</v>
      </c>
      <c r="E40" s="28">
        <v>25</v>
      </c>
      <c r="F40" s="27" t="s">
        <v>47</v>
      </c>
      <c r="G40" s="1" t="s">
        <v>48</v>
      </c>
    </row>
    <row r="41" spans="1:7" x14ac:dyDescent="0.3">
      <c r="A41" s="28">
        <v>35</v>
      </c>
      <c r="B41" s="27" t="s">
        <v>49</v>
      </c>
      <c r="C41" s="1" t="s">
        <v>50</v>
      </c>
      <c r="E41" s="28">
        <v>35</v>
      </c>
      <c r="F41" s="27" t="s">
        <v>49</v>
      </c>
      <c r="G41" s="1" t="s">
        <v>50</v>
      </c>
    </row>
    <row r="42" spans="1:7" x14ac:dyDescent="0.3">
      <c r="A42" s="28">
        <v>40</v>
      </c>
      <c r="B42" s="27" t="s">
        <v>43</v>
      </c>
      <c r="C42" s="1" t="s">
        <v>51</v>
      </c>
      <c r="E42" s="28">
        <v>40</v>
      </c>
      <c r="F42" s="27" t="s">
        <v>43</v>
      </c>
      <c r="G42" s="1" t="s">
        <v>51</v>
      </c>
    </row>
    <row r="43" spans="1:7" x14ac:dyDescent="0.3">
      <c r="A43" s="28"/>
      <c r="B43" s="27"/>
      <c r="C43" s="27"/>
      <c r="E43" s="28"/>
      <c r="F43" s="27"/>
      <c r="G43" s="27"/>
    </row>
    <row r="44" spans="1:7" ht="20.5" customHeight="1" x14ac:dyDescent="0.3">
      <c r="A44" s="44" t="s">
        <v>53</v>
      </c>
      <c r="B44" s="44"/>
      <c r="C44" s="44"/>
      <c r="D44" s="32"/>
      <c r="E44" s="44" t="s">
        <v>53</v>
      </c>
      <c r="F44" s="44"/>
      <c r="G44" s="44"/>
    </row>
    <row r="45" spans="1:7" ht="28.8" x14ac:dyDescent="0.3">
      <c r="A45" s="22" t="s">
        <v>54</v>
      </c>
      <c r="B45" s="22" t="s">
        <v>55</v>
      </c>
      <c r="C45" s="30" t="s">
        <v>41</v>
      </c>
      <c r="E45" s="22" t="s">
        <v>54</v>
      </c>
      <c r="F45" s="22" t="s">
        <v>55</v>
      </c>
      <c r="G45" s="30" t="s">
        <v>41</v>
      </c>
    </row>
    <row r="46" spans="1:7" x14ac:dyDescent="0.3">
      <c r="A46" s="29">
        <v>45214.375</v>
      </c>
      <c r="B46" s="27">
        <v>22</v>
      </c>
      <c r="C46" s="31" t="str">
        <f>VLOOKUP(B46,$A$37:$C$42,2,1)</f>
        <v>Высокий</v>
      </c>
      <c r="E46" s="29">
        <v>45214.375</v>
      </c>
      <c r="F46" s="27">
        <v>22</v>
      </c>
      <c r="G46" s="31" t="str">
        <f>VLOOKUP(F46,$E$37:$G$42,2,1)</f>
        <v>Высокий</v>
      </c>
    </row>
    <row r="47" spans="1:7" x14ac:dyDescent="0.3">
      <c r="A47" s="29">
        <v>45214.583333333336</v>
      </c>
      <c r="B47" s="27">
        <v>-5</v>
      </c>
      <c r="C47" s="31" t="str">
        <f t="shared" ref="C47:C49" si="3">VLOOKUP(B47,$A$37:$C$42,2,1)</f>
        <v>Критический</v>
      </c>
      <c r="E47" s="29">
        <v>45214.583333333336</v>
      </c>
      <c r="F47" s="27">
        <v>-5</v>
      </c>
      <c r="G47" s="31" t="str">
        <f t="shared" ref="G47:G49" si="4">VLOOKUP(F47,$E$37:$G$42,2,1)</f>
        <v>Критический</v>
      </c>
    </row>
    <row r="48" spans="1:7" x14ac:dyDescent="0.3">
      <c r="A48" s="29">
        <v>45215.541666666664</v>
      </c>
      <c r="B48" s="27">
        <v>38</v>
      </c>
      <c r="C48" s="31" t="str">
        <f t="shared" si="3"/>
        <v>Повышенный</v>
      </c>
      <c r="E48" s="29">
        <v>45215.541666666664</v>
      </c>
      <c r="F48" s="27">
        <v>38</v>
      </c>
      <c r="G48" s="31" t="str">
        <f t="shared" si="4"/>
        <v>Повышенный</v>
      </c>
    </row>
    <row r="49" spans="1:7" x14ac:dyDescent="0.3">
      <c r="A49" s="29">
        <v>45216.666666666664</v>
      </c>
      <c r="B49" s="27">
        <v>-13</v>
      </c>
      <c r="C49" s="31" t="e">
        <f t="shared" si="3"/>
        <v>#N/A</v>
      </c>
      <c r="E49" s="29">
        <v>45216.666666666664</v>
      </c>
      <c r="F49" s="27">
        <v>-13</v>
      </c>
      <c r="G49" s="31" t="str">
        <f t="shared" si="4"/>
        <v>Критический</v>
      </c>
    </row>
    <row r="50" spans="1:7" x14ac:dyDescent="0.3">
      <c r="E50" s="32"/>
      <c r="F50" s="27"/>
    </row>
    <row r="52" spans="1:7" s="25" customFormat="1" ht="19.95" customHeight="1" x14ac:dyDescent="0.3">
      <c r="A52" s="24" t="s">
        <v>58</v>
      </c>
      <c r="C52" s="26"/>
    </row>
    <row r="53" spans="1:7" s="18" customFormat="1" x14ac:dyDescent="0.3">
      <c r="A53" s="17" t="s">
        <v>13</v>
      </c>
      <c r="C53" s="19"/>
      <c r="E53" s="20"/>
      <c r="F53" s="20"/>
    </row>
    <row r="54" spans="1:7" x14ac:dyDescent="0.3">
      <c r="A54" s="21"/>
      <c r="C54" s="7"/>
    </row>
    <row r="55" spans="1:7" ht="18.850000000000001" customHeight="1" x14ac:dyDescent="0.3">
      <c r="A55" s="42" t="s">
        <v>38</v>
      </c>
      <c r="B55" s="42"/>
      <c r="C55" s="7"/>
      <c r="D55" s="43" t="s">
        <v>39</v>
      </c>
      <c r="E55" s="43"/>
    </row>
    <row r="56" spans="1:7" ht="28.8" x14ac:dyDescent="0.3">
      <c r="A56" s="10" t="s">
        <v>15</v>
      </c>
      <c r="B56" s="10" t="s">
        <v>14</v>
      </c>
      <c r="D56" s="10" t="s">
        <v>15</v>
      </c>
      <c r="E56" s="10" t="s">
        <v>14</v>
      </c>
      <c r="F56" s="1"/>
    </row>
    <row r="57" spans="1:7" x14ac:dyDescent="0.3">
      <c r="A57" s="6">
        <v>0</v>
      </c>
      <c r="B57" s="11">
        <v>0</v>
      </c>
      <c r="D57" s="6">
        <v>0</v>
      </c>
      <c r="E57" s="11">
        <v>0</v>
      </c>
      <c r="F57" s="1"/>
    </row>
    <row r="58" spans="1:7" x14ac:dyDescent="0.3">
      <c r="A58" s="6" t="s">
        <v>29</v>
      </c>
      <c r="B58" s="11">
        <v>0.05</v>
      </c>
      <c r="D58" s="5">
        <v>50000</v>
      </c>
      <c r="E58" s="11">
        <v>0.05</v>
      </c>
    </row>
    <row r="59" spans="1:7" x14ac:dyDescent="0.3">
      <c r="A59" s="6" t="s">
        <v>30</v>
      </c>
      <c r="B59" s="11">
        <v>0.1</v>
      </c>
      <c r="D59" s="5">
        <v>200000</v>
      </c>
      <c r="E59" s="11">
        <v>0.1</v>
      </c>
    </row>
    <row r="60" spans="1:7" x14ac:dyDescent="0.3">
      <c r="A60" s="6" t="s">
        <v>31</v>
      </c>
      <c r="B60" s="11">
        <v>0.15</v>
      </c>
      <c r="D60" s="5">
        <v>500000</v>
      </c>
      <c r="E60" s="11">
        <v>0.15</v>
      </c>
    </row>
    <row r="61" spans="1:7" x14ac:dyDescent="0.3">
      <c r="E61" s="1"/>
    </row>
    <row r="62" spans="1:7" ht="18.850000000000001" customHeight="1" x14ac:dyDescent="0.3">
      <c r="A62" s="14" t="s">
        <v>37</v>
      </c>
      <c r="B62" s="14" t="s">
        <v>14</v>
      </c>
      <c r="D62" s="14" t="s">
        <v>37</v>
      </c>
      <c r="E62" s="14" t="s">
        <v>14</v>
      </c>
    </row>
    <row r="63" spans="1:7" x14ac:dyDescent="0.3">
      <c r="A63" s="15">
        <v>230000</v>
      </c>
      <c r="B63" s="16">
        <f>VLOOKUP(A63,$A$56:$B$60,2,1)</f>
        <v>0</v>
      </c>
      <c r="D63" s="15">
        <v>230000</v>
      </c>
      <c r="E63" s="16">
        <f>VLOOKUP(D63,$D$56:$E$60,2,1)</f>
        <v>0.1</v>
      </c>
    </row>
    <row r="66" spans="1:6" ht="28.8" x14ac:dyDescent="0.3">
      <c r="A66" s="10" t="s">
        <v>15</v>
      </c>
      <c r="B66" s="10" t="s">
        <v>14</v>
      </c>
      <c r="F66" s="1"/>
    </row>
    <row r="67" spans="1:6" x14ac:dyDescent="0.3">
      <c r="A67" s="6">
        <v>0</v>
      </c>
      <c r="B67" s="11">
        <v>0</v>
      </c>
      <c r="F67" s="1"/>
    </row>
    <row r="68" spans="1:6" x14ac:dyDescent="0.3">
      <c r="A68" s="5">
        <v>50000</v>
      </c>
      <c r="B68" s="11">
        <v>0.05</v>
      </c>
    </row>
    <row r="69" spans="1:6" x14ac:dyDescent="0.3">
      <c r="A69" s="6" t="s">
        <v>30</v>
      </c>
      <c r="B69" s="11">
        <v>0.1</v>
      </c>
    </row>
    <row r="70" spans="1:6" x14ac:dyDescent="0.3">
      <c r="A70" s="6" t="s">
        <v>31</v>
      </c>
      <c r="B70" s="11">
        <v>0.15</v>
      </c>
    </row>
    <row r="72" spans="1:6" ht="18.850000000000001" customHeight="1" x14ac:dyDescent="0.3">
      <c r="A72" s="14" t="s">
        <v>37</v>
      </c>
      <c r="B72" s="14" t="s">
        <v>14</v>
      </c>
    </row>
    <row r="73" spans="1:6" x14ac:dyDescent="0.3">
      <c r="A73" s="15">
        <v>230000</v>
      </c>
      <c r="B73" s="16">
        <f>VLOOKUP(A73,$A$66:$B$70,2,1)</f>
        <v>0.05</v>
      </c>
    </row>
  </sheetData>
  <sortState xmlns:xlrd2="http://schemas.microsoft.com/office/spreadsheetml/2017/richdata2" ref="D21:E24">
    <sortCondition ref="D21:D24"/>
  </sortState>
  <mergeCells count="16">
    <mergeCell ref="D1:E1"/>
    <mergeCell ref="D2:E2"/>
    <mergeCell ref="D3:E3"/>
    <mergeCell ref="D4:E4"/>
    <mergeCell ref="A3:B4"/>
    <mergeCell ref="A1:B2"/>
    <mergeCell ref="A19:B19"/>
    <mergeCell ref="D19:E19"/>
    <mergeCell ref="A55:B55"/>
    <mergeCell ref="D55:E55"/>
    <mergeCell ref="A36:C36"/>
    <mergeCell ref="A44:C44"/>
    <mergeCell ref="A35:C35"/>
    <mergeCell ref="E35:G35"/>
    <mergeCell ref="E36:G36"/>
    <mergeCell ref="E44:G44"/>
  </mergeCells>
  <hyperlinks>
    <hyperlink ref="D1" r:id="rId1" xr:uid="{B7E9E479-CD34-4F6C-B29D-8351FABBBCEC}"/>
    <hyperlink ref="D2" r:id="rId2" xr:uid="{F5DFFBA5-2B5E-4C09-AEC2-159DF6DB8EAC}"/>
    <hyperlink ref="D3" r:id="rId3" xr:uid="{6810A66C-6BD8-469A-8660-545863110F63}"/>
    <hyperlink ref="D4" r:id="rId4" xr:uid="{1590E20E-00A0-4F88-B7A2-D7E5EAA6B8F0}"/>
    <hyperlink ref="D1:E1" r:id="rId5" display="https://first.excel-club.ru" xr:uid="{18AA37BB-27FB-4B46-8ABA-50AC60D5D553}"/>
  </hyperlink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Ольга Пивикова</dc:creator>
  <cp:lastModifiedBy>Ольга Пивикова</cp:lastModifiedBy>
  <dcterms:created xsi:type="dcterms:W3CDTF">2015-06-05T18:19:34Z</dcterms:created>
  <dcterms:modified xsi:type="dcterms:W3CDTF">2025-09-04T09:41:59Z</dcterms:modified>
</cp:coreProperties>
</file>