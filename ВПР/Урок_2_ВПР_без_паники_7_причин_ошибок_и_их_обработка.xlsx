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 DOCUMENTS\01_БЛОГ ЭКСЕЛЬ\ExcelClub\ВПР\"/>
    </mc:Choice>
  </mc:AlternateContent>
  <xr:revisionPtr revIDLastSave="0" documentId="13_ncr:1_{3E338034-812D-4E3C-AC74-7AEB2D57C962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ошибки" sheetId="1" r:id="rId1"/>
    <sheet name="справочник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4" i="1" l="1"/>
  <c r="B73" i="1"/>
  <c r="D75" i="1" s="1"/>
  <c r="B70" i="1"/>
  <c r="B71" i="1"/>
  <c r="B72" i="1"/>
  <c r="B69" i="1"/>
  <c r="C62" i="1"/>
  <c r="C61" i="1"/>
  <c r="D61" i="1"/>
  <c r="D62" i="1"/>
  <c r="B61" i="1"/>
  <c r="B62" i="1"/>
  <c r="C57" i="1"/>
  <c r="C56" i="1"/>
  <c r="D56" i="1"/>
  <c r="D57" i="1"/>
  <c r="B57" i="1"/>
  <c r="B56" i="1"/>
  <c r="C49" i="1"/>
  <c r="C48" i="1"/>
  <c r="B48" i="1"/>
  <c r="B49" i="1"/>
  <c r="C41" i="1"/>
  <c r="C40" i="1"/>
  <c r="B41" i="1"/>
  <c r="B40" i="1"/>
  <c r="C33" i="1"/>
  <c r="C32" i="1"/>
  <c r="B32" i="1"/>
  <c r="B33" i="1"/>
  <c r="D25" i="1"/>
  <c r="C25" i="1"/>
  <c r="D24" i="1"/>
  <c r="C24" i="1"/>
  <c r="B25" i="1"/>
  <c r="B24" i="1"/>
  <c r="C20" i="1"/>
  <c r="C19" i="1"/>
  <c r="B20" i="1"/>
  <c r="B19" i="1"/>
  <c r="C12" i="1"/>
  <c r="C11" i="1"/>
  <c r="B11" i="1"/>
  <c r="B12" i="1"/>
  <c r="D73" i="1" l="1"/>
  <c r="D74" i="1"/>
</calcChain>
</file>

<file path=xl/sharedStrings.xml><?xml version="1.0" encoding="utf-8"?>
<sst xmlns="http://schemas.openxmlformats.org/spreadsheetml/2006/main" count="219" uniqueCount="116">
  <si>
    <t>Сайт клуба</t>
  </si>
  <si>
    <t>https://first.excel-club.ru</t>
  </si>
  <si>
    <t>ТГ-канал</t>
  </si>
  <si>
    <t>https://t.me/pivikovaexcel</t>
  </si>
  <si>
    <t>Ютуб</t>
  </si>
  <si>
    <t>https://www.youtube.com/@pivikova-excel</t>
  </si>
  <si>
    <t>Вконтакте</t>
  </si>
  <si>
    <t>https://vk.com/pivikova_excel</t>
  </si>
  <si>
    <t>Офисная техника</t>
  </si>
  <si>
    <t>Оборудование</t>
  </si>
  <si>
    <t>Инвентарный номер</t>
  </si>
  <si>
    <t>Наименование ОС</t>
  </si>
  <si>
    <t>Группа ОС</t>
  </si>
  <si>
    <t>Дата ввода</t>
  </si>
  <si>
    <t>Первонач. стоимость</t>
  </si>
  <si>
    <t>Срок службы (мес)</t>
  </si>
  <si>
    <t>Метод амортизации</t>
  </si>
  <si>
    <t>Линейный</t>
  </si>
  <si>
    <t>Транспорт</t>
  </si>
  <si>
    <t>Уменьшаемого остатка</t>
  </si>
  <si>
    <t>IT-оборудование</t>
  </si>
  <si>
    <t>Мебель</t>
  </si>
  <si>
    <t>Реестр основных средств</t>
  </si>
  <si>
    <t>Инв. номер</t>
  </si>
  <si>
    <t>❌ Неправильная формула</t>
  </si>
  <si>
    <t>✅ Правильная формула</t>
  </si>
  <si>
    <t>Филиал</t>
  </si>
  <si>
    <t>1. не указан 4ый аргумент и результат неверный 2. столбец с искомым значением не самый левый 3. неправильное закрепление и съехал диапазон при протягивании данных 4. нет совпадения (причины: опечатки, лишний пробел) 5. разные форматы данных (число-текст)</t>
  </si>
  <si>
    <t>INV-MSK-OF-001</t>
  </si>
  <si>
    <t>Принтер HP LaserJet Pro M404dn</t>
  </si>
  <si>
    <t>Москва</t>
  </si>
  <si>
    <t>Санкт-Петербург</t>
  </si>
  <si>
    <t>INV-EKB-PD-101</t>
  </si>
  <si>
    <t>Станок ЧПУ Haas TM-1P</t>
  </si>
  <si>
    <t>Производственное</t>
  </si>
  <si>
    <t>Екатеринбург</t>
  </si>
  <si>
    <t>Новосибирск</t>
  </si>
  <si>
    <t>INV-MSK-TR-205</t>
  </si>
  <si>
    <t>Автомобиль Volkswagen Tiguan</t>
  </si>
  <si>
    <t>Казань</t>
  </si>
  <si>
    <t>INV-NSK-IT-077</t>
  </si>
  <si>
    <t>Сервер Dell PowerEdge R750</t>
  </si>
  <si>
    <t>INV-MSK-FN-412</t>
  </si>
  <si>
    <t>Мебель офисная (комплект)</t>
  </si>
  <si>
    <t>INV-KZN-SV-309</t>
  </si>
  <si>
    <t>ИБП Eaton 9PX 6000RT</t>
  </si>
  <si>
    <t>INV-MSK-MD-555</t>
  </si>
  <si>
    <t>Медицинский аппарат УЗИ Mindray DC-8</t>
  </si>
  <si>
    <t>Медоборудование</t>
  </si>
  <si>
    <t>INV-SPB-LB-888</t>
  </si>
  <si>
    <t>Лабораторный спектрометр Agilent</t>
  </si>
  <si>
    <t>INV-KZN-AC-777</t>
  </si>
  <si>
    <t>Система кондиционирования Daikin</t>
  </si>
  <si>
    <t>Инфраструктура</t>
  </si>
  <si>
    <t>INV-EKB-SC-123</t>
  </si>
  <si>
    <t>Сканер штрихкодов Zebra DS2208</t>
  </si>
  <si>
    <t>INV-NSK-NW-456</t>
  </si>
  <si>
    <t>Коммутатор Cisco Catalyst 9200L</t>
  </si>
  <si>
    <t>Сетевое оборудование</t>
  </si>
  <si>
    <t>INV-MSK-SF-789</t>
  </si>
  <si>
    <t>Сейф металлический APECS LS-30</t>
  </si>
  <si>
    <t>INV-SPB-PC-234</t>
  </si>
  <si>
    <t>Рабочая станция HP Z4 G4</t>
  </si>
  <si>
    <t>INV-KZN-CM-567</t>
  </si>
  <si>
    <t>Видеоконференц-система Poly X50</t>
  </si>
  <si>
    <t>INV-SPB-OF-002</t>
  </si>
  <si>
    <t>INV-NSK-PD-103</t>
  </si>
  <si>
    <t>INV-KZN-TR-207</t>
  </si>
  <si>
    <t>INV-SPB-IT-078</t>
  </si>
  <si>
    <t>INV-EKB-FN-413</t>
  </si>
  <si>
    <t>INV-NSK-SV-310</t>
  </si>
  <si>
    <t>Ошибка 2: Столбец с искомым значением не первый в выбранном диапазоне</t>
  </si>
  <si>
    <t>Ошибка 3: Неправильное закрепление диапазонов</t>
  </si>
  <si>
    <t>INV-MSK-OF-003</t>
  </si>
  <si>
    <t>INV-SPB-IT - 078</t>
  </si>
  <si>
    <t>Ошибка 1: Пропуск 4-го аргумента</t>
  </si>
  <si>
    <t>"INV-EKB-FN-413"</t>
  </si>
  <si>
    <t>413</t>
  </si>
  <si>
    <t>Внутренний код</t>
  </si>
  <si>
    <t>448</t>
  </si>
  <si>
    <t>354</t>
  </si>
  <si>
    <t>491</t>
  </si>
  <si>
    <t>156</t>
  </si>
  <si>
    <t>243</t>
  </si>
  <si>
    <t>387</t>
  </si>
  <si>
    <t>117</t>
  </si>
  <si>
    <t>279</t>
  </si>
  <si>
    <t>383</t>
  </si>
  <si>
    <t>116</t>
  </si>
  <si>
    <t>106</t>
  </si>
  <si>
    <t>159</t>
  </si>
  <si>
    <t>172</t>
  </si>
  <si>
    <t>153</t>
  </si>
  <si>
    <t>483</t>
  </si>
  <si>
    <t>286</t>
  </si>
  <si>
    <t>369</t>
  </si>
  <si>
    <t>275</t>
  </si>
  <si>
    <t>189</t>
  </si>
  <si>
    <t>Ошибка 4: Номер столбца (3ий аргумент) выходит за пределы выделяемого диапазона</t>
  </si>
  <si>
    <t>Ошибка 5: Неверный подсчет номера столбца</t>
  </si>
  <si>
    <t>Ошибка 6: Разные форматы данных (число/текст/дата)</t>
  </si>
  <si>
    <t>20.04.2022</t>
  </si>
  <si>
    <t>25.09.2022</t>
  </si>
  <si>
    <t>Ошибка 7: Не найдено совпадений (опечатки, лишние символы, пробелы и т.д.) или такого значения просто нет</t>
  </si>
  <si>
    <t xml:space="preserve">INV-NSK-PD-103 </t>
  </si>
  <si>
    <t>причина ошибки</t>
  </si>
  <si>
    <t>лишние пробелы внутри текста</t>
  </si>
  <si>
    <t>лишние кавычки</t>
  </si>
  <si>
    <t>пробел в конце текста</t>
  </si>
  <si>
    <t>INV-KZN-АC-777</t>
  </si>
  <si>
    <t>буква А русская вместо английской</t>
  </si>
  <si>
    <t>несуществующий номер</t>
  </si>
  <si>
    <t>!! ССЫЛКА НА ВИДЕО про ВПР+ВЫБОР</t>
  </si>
  <si>
    <t>https://youtu.be/eTihFsdDcfA?si=Oaz2CMFgJ0bEluSb</t>
  </si>
  <si>
    <t>ЭКСПРЕСС-КУРС</t>
  </si>
  <si>
    <t>«ВПР в ДЕЙСТВИИ»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</si>
</sst>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18" x14ac:knownFonts="1">
    <font>
      <sz val="11"/>
      <color theme="1"/>
      <name val="Calibri"/>
      <family val="2"/>
      <scheme val="minor"/>
    </font>
    <font>
      <sz val="11"/>
      <color theme="0"/>
      <name val="Gilroy"/>
      <charset val="204"/>
    </font>
    <font>
      <sz val="11"/>
      <color theme="1"/>
      <name val="Gilroy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Gilroy"/>
      <charset val="204"/>
    </font>
    <font>
      <b/>
      <sz val="8"/>
      <color theme="0"/>
      <name val="Gilroy"/>
      <charset val="204"/>
    </font>
    <font>
      <b/>
      <u/>
      <sz val="8"/>
      <color theme="0"/>
      <name val="Gilroy"/>
      <charset val="204"/>
    </font>
    <font>
      <sz val="8"/>
      <color theme="1"/>
      <name val="Gilroy"/>
      <charset val="204"/>
    </font>
    <font>
      <b/>
      <sz val="18"/>
      <color theme="0"/>
      <name val="Gilroy Bold"/>
      <charset val="204"/>
    </font>
    <font>
      <b/>
      <sz val="11"/>
      <color theme="1"/>
      <name val="Gilroy"/>
      <charset val="204"/>
    </font>
    <font>
      <sz val="11"/>
      <color theme="5" tint="0.39997558519241921"/>
      <name val="Gilroy"/>
      <charset val="204"/>
    </font>
    <font>
      <sz val="11"/>
      <color rgb="FFA6D86E"/>
      <name val="Gilroy"/>
      <charset val="204"/>
    </font>
    <font>
      <sz val="9"/>
      <color rgb="FF262626"/>
      <name val="Segoe UI"/>
      <family val="2"/>
      <charset val="204"/>
    </font>
    <font>
      <sz val="8"/>
      <name val="Calibri"/>
      <family val="2"/>
      <scheme val="minor"/>
    </font>
    <font>
      <i/>
      <sz val="11"/>
      <color theme="5" tint="0.39997558519241921"/>
      <name val="Gilroy"/>
      <charset val="204"/>
    </font>
    <font>
      <i/>
      <sz val="11"/>
      <color theme="1" tint="0.34998626667073579"/>
      <name val="Gilroy"/>
      <charset val="204"/>
    </font>
    <font>
      <b/>
      <sz val="10"/>
      <color theme="0"/>
      <name val="Gilroy"/>
      <charset val="204"/>
    </font>
    <font>
      <u/>
      <sz val="11"/>
      <color theme="10"/>
      <name val="Gilroy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814BE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0E9FD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 style="dotted">
        <color theme="0"/>
      </right>
      <top/>
      <bottom/>
      <diagonal/>
    </border>
    <border>
      <left/>
      <right style="dotted">
        <color theme="0"/>
      </right>
      <top/>
      <bottom style="dotted">
        <color theme="0"/>
      </bottom>
      <diagonal/>
    </border>
    <border>
      <left style="dotted">
        <color theme="0"/>
      </left>
      <right style="dotted">
        <color theme="0"/>
      </right>
      <top/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dotted">
        <color theme="0"/>
      </left>
      <right/>
      <top/>
      <bottom/>
      <diagonal/>
    </border>
    <border>
      <left style="dotted">
        <color theme="0"/>
      </left>
      <right style="dotted">
        <color theme="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left" vertical="center"/>
    </xf>
    <xf numFmtId="0" fontId="4" fillId="3" borderId="0" xfId="0" applyFont="1" applyFill="1"/>
    <xf numFmtId="0" fontId="8" fillId="3" borderId="0" xfId="0" applyFont="1" applyFill="1" applyAlignment="1">
      <alignment vertical="top"/>
    </xf>
    <xf numFmtId="0" fontId="9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164" fontId="9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4" fontId="2" fillId="4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14" fontId="2" fillId="0" borderId="0" xfId="0" quotePrefix="1" applyNumberFormat="1" applyFont="1" applyAlignment="1">
      <alignment horizontal="left" vertical="center"/>
    </xf>
    <xf numFmtId="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" fillId="3" borderId="0" xfId="0" applyFont="1" applyFill="1" applyAlignment="1">
      <alignment horizontal="right" vertical="center" indent="2"/>
    </xf>
    <xf numFmtId="0" fontId="16" fillId="3" borderId="6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5" borderId="6" xfId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/>
    </xf>
    <xf numFmtId="0" fontId="8" fillId="3" borderId="0" xfId="0" applyFont="1" applyFill="1" applyAlignment="1">
      <alignment horizontal="left" vertical="top" indent="7"/>
    </xf>
    <xf numFmtId="0" fontId="4" fillId="3" borderId="0" xfId="0" applyFont="1" applyFill="1" applyAlignment="1">
      <alignment horizontal="left" indent="7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indent="2"/>
    </xf>
    <xf numFmtId="0" fontId="8" fillId="3" borderId="0" xfId="0" applyFont="1" applyFill="1" applyAlignment="1">
      <alignment horizontal="left" vertical="top" indent="2"/>
    </xf>
    <xf numFmtId="2" fontId="2" fillId="0" borderId="0" xfId="0" applyNumberFormat="1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0E9FD"/>
      <color rgb="FFDFD2FA"/>
      <color rgb="FF814BEA"/>
      <color rgb="FFA6D86E"/>
      <color rgb="FF89CC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first.excel-club.ru/?utm_source=vpr&amp;utm_medium=file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first.excel-club.ru/?utm_source=vpr&amp;utm_medium=fil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94568</xdr:colOff>
      <xdr:row>0</xdr:row>
      <xdr:rowOff>52362</xdr:rowOff>
    </xdr:from>
    <xdr:to>
      <xdr:col>0</xdr:col>
      <xdr:colOff>697292</xdr:colOff>
      <xdr:row>3</xdr:row>
      <xdr:rowOff>52362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096FF6-BEB8-4C0A-9DB6-6E2EE0B9A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68" y="52362"/>
          <a:ext cx="602724" cy="515816"/>
        </a:xfrm>
        <a:prstGeom prst="rect">
          <a:avLst/>
        </a:prstGeom>
      </xdr:spPr>
    </xdr:pic>
    <xdr:clientData/>
  </xdr:twoCellAnchor>
  <xdr:twoCellAnchor editAs="oneCell">
    <xdr:from>
      <xdr:col>4</xdr:col>
      <xdr:colOff>154745</xdr:colOff>
      <xdr:row>0</xdr:row>
      <xdr:rowOff>93787</xdr:rowOff>
    </xdr:from>
    <xdr:to>
      <xdr:col>5</xdr:col>
      <xdr:colOff>625079</xdr:colOff>
      <xdr:row>3</xdr:row>
      <xdr:rowOff>46893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1DE97-507F-4D30-AC27-D0C93370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9298" y="93787"/>
          <a:ext cx="2244426" cy="4689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63306</xdr:colOff>
      <xdr:row>0</xdr:row>
      <xdr:rowOff>21101</xdr:rowOff>
    </xdr:from>
    <xdr:to>
      <xdr:col>1</xdr:col>
      <xdr:colOff>56430</xdr:colOff>
      <xdr:row>3</xdr:row>
      <xdr:rowOff>21101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BA7DED-CA3F-4954-AFB0-8DFE7DE54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06" y="21101"/>
          <a:ext cx="602724" cy="515816"/>
        </a:xfrm>
        <a:prstGeom prst="rect">
          <a:avLst/>
        </a:prstGeom>
      </xdr:spPr>
    </xdr:pic>
    <xdr:clientData/>
  </xdr:twoCellAnchor>
  <xdr:twoCellAnchor editAs="oneCell">
    <xdr:from>
      <xdr:col>6</xdr:col>
      <xdr:colOff>170373</xdr:colOff>
      <xdr:row>0</xdr:row>
      <xdr:rowOff>70340</xdr:rowOff>
    </xdr:from>
    <xdr:to>
      <xdr:col>7</xdr:col>
      <xdr:colOff>1367538</xdr:colOff>
      <xdr:row>3</xdr:row>
      <xdr:rowOff>23446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D03BA6-8039-4132-BEB7-F9A6A7180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8312" y="70340"/>
          <a:ext cx="2244426" cy="468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youtube.com/@pivikova-exce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t.me/+oIzc6ApzoNBmNjRi" TargetMode="External"/><Relationship Id="rId1" Type="http://schemas.openxmlformats.org/officeDocument/2006/relationships/hyperlink" Target="https://first.excel-club.ru/?utm_source=fileintensiv" TargetMode="External"/><Relationship Id="rId6" Type="http://schemas.openxmlformats.org/officeDocument/2006/relationships/hyperlink" Target="https://youtu.be/eTihFsdDcfA?si=Oaz2CMFgJ0bEluSb" TargetMode="Externa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vk.com/pivikova_exce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k.com/pivikova_excel" TargetMode="External"/><Relationship Id="rId2" Type="http://schemas.openxmlformats.org/officeDocument/2006/relationships/hyperlink" Target="https://www.youtube.com/@pivikova-excel" TargetMode="External"/><Relationship Id="rId1" Type="http://schemas.openxmlformats.org/officeDocument/2006/relationships/hyperlink" Target="https://t.me/+oIzc6ApzoNBmNjRi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first.excel-club.ru/?utm_source=fileintens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zoomScale="90" zoomScaleNormal="90" workbookViewId="0">
      <selection activeCell="A75" sqref="A75"/>
    </sheetView>
  </sheetViews>
  <sheetFormatPr defaultRowHeight="14.4" x14ac:dyDescent="0.3"/>
  <cols>
    <col min="1" max="1" width="33.69921875" style="2" customWidth="1"/>
    <col min="2" max="2" width="36.59765625" style="2" customWidth="1"/>
    <col min="3" max="3" width="36.59765625" style="5" customWidth="1"/>
    <col min="4" max="4" width="36.59765625" style="2" customWidth="1"/>
    <col min="5" max="5" width="25.19921875" style="2" customWidth="1"/>
    <col min="6" max="6" width="16.69921875" style="2" customWidth="1"/>
    <col min="7" max="7" width="24.296875" style="2" customWidth="1"/>
    <col min="8" max="8" width="21.296875" style="2" customWidth="1"/>
    <col min="9" max="9" width="20.3984375" style="2" customWidth="1"/>
    <col min="10" max="10" width="17.296875" style="2" customWidth="1"/>
    <col min="11" max="11" width="17.59765625" style="2" customWidth="1"/>
    <col min="12" max="12" width="8.796875" style="2" customWidth="1"/>
    <col min="13" max="16384" width="8.796875" style="2"/>
  </cols>
  <sheetData>
    <row r="1" spans="1:8" s="4" customFormat="1" ht="13.3" customHeight="1" x14ac:dyDescent="0.3">
      <c r="A1" s="32" t="s">
        <v>114</v>
      </c>
      <c r="B1" s="32"/>
      <c r="C1" s="24" t="s">
        <v>0</v>
      </c>
      <c r="D1" s="30" t="s">
        <v>1</v>
      </c>
      <c r="E1" s="30"/>
      <c r="H1" s="3"/>
    </row>
    <row r="2" spans="1:8" s="4" customFormat="1" ht="13.3" customHeight="1" x14ac:dyDescent="0.3">
      <c r="A2" s="32"/>
      <c r="B2" s="32"/>
      <c r="C2" s="24" t="s">
        <v>2</v>
      </c>
      <c r="D2" s="30" t="s">
        <v>3</v>
      </c>
      <c r="E2" s="30"/>
      <c r="H2" s="3"/>
    </row>
    <row r="3" spans="1:8" s="4" customFormat="1" ht="13.3" customHeight="1" x14ac:dyDescent="0.3">
      <c r="A3" s="31" t="s">
        <v>115</v>
      </c>
      <c r="B3" s="31"/>
      <c r="C3" s="24" t="s">
        <v>4</v>
      </c>
      <c r="D3" s="30" t="s">
        <v>5</v>
      </c>
      <c r="E3" s="30"/>
      <c r="H3" s="3"/>
    </row>
    <row r="4" spans="1:8" s="4" customFormat="1" ht="13.3" customHeight="1" x14ac:dyDescent="0.3">
      <c r="A4" s="31"/>
      <c r="B4" s="31"/>
      <c r="C4" s="24" t="s">
        <v>6</v>
      </c>
      <c r="D4" s="30" t="s">
        <v>7</v>
      </c>
      <c r="E4" s="30"/>
      <c r="H4" s="3"/>
    </row>
    <row r="6" spans="1:8" x14ac:dyDescent="0.3">
      <c r="A6" s="11"/>
      <c r="C6" s="12"/>
    </row>
    <row r="7" spans="1:8" s="18" customFormat="1" ht="19.95" customHeight="1" x14ac:dyDescent="0.3">
      <c r="A7" s="17" t="s">
        <v>75</v>
      </c>
      <c r="C7" s="19"/>
    </row>
    <row r="8" spans="1:8" x14ac:dyDescent="0.3">
      <c r="A8" s="11"/>
      <c r="C8" s="12"/>
    </row>
    <row r="9" spans="1:8" ht="19.95" customHeight="1" x14ac:dyDescent="0.3">
      <c r="A9" s="33" t="s">
        <v>23</v>
      </c>
      <c r="B9" s="35" t="s">
        <v>11</v>
      </c>
      <c r="C9" s="35"/>
    </row>
    <row r="10" spans="1:8" ht="19.95" customHeight="1" x14ac:dyDescent="0.3">
      <c r="A10" s="34"/>
      <c r="B10" s="15" t="s">
        <v>24</v>
      </c>
      <c r="C10" s="16" t="s">
        <v>25</v>
      </c>
    </row>
    <row r="11" spans="1:8" ht="19.95" customHeight="1" x14ac:dyDescent="0.3">
      <c r="A11" s="2" t="s">
        <v>37</v>
      </c>
      <c r="B11" s="2" t="str">
        <f>VLOOKUP($A11,справочник!$B$7:$D$27,3)</f>
        <v>Сейф металлический APECS LS-30</v>
      </c>
      <c r="C11" s="2" t="str">
        <f>VLOOKUP($A11,справочник!$B$7:$D$27,3,0)</f>
        <v>Автомобиль Volkswagen Tiguan</v>
      </c>
    </row>
    <row r="12" spans="1:8" ht="19.95" customHeight="1" x14ac:dyDescent="0.3">
      <c r="A12" s="2" t="s">
        <v>65</v>
      </c>
      <c r="B12" s="2" t="str">
        <f>VLOOKUP($A12,справочник!$B$7:$D$27,3)</f>
        <v>Сейф металлический APECS LS-30</v>
      </c>
      <c r="C12" s="2" t="str">
        <f>VLOOKUP($A12,справочник!$B$7:$D$27,3,0)</f>
        <v>Принтер HP LaserJet Pro M404dn</v>
      </c>
      <c r="D12" s="10"/>
    </row>
    <row r="13" spans="1:8" ht="19.95" customHeight="1" x14ac:dyDescent="0.3">
      <c r="A13" s="11"/>
      <c r="C13" s="12"/>
      <c r="D13" s="10"/>
    </row>
    <row r="14" spans="1:8" x14ac:dyDescent="0.3">
      <c r="A14" s="11"/>
      <c r="C14" s="12"/>
      <c r="D14" s="10"/>
    </row>
    <row r="15" spans="1:8" s="18" customFormat="1" ht="19.95" customHeight="1" x14ac:dyDescent="0.3">
      <c r="A15" s="17" t="s">
        <v>71</v>
      </c>
      <c r="C15" s="19"/>
    </row>
    <row r="16" spans="1:8" x14ac:dyDescent="0.3">
      <c r="A16" s="13"/>
      <c r="C16" s="12"/>
    </row>
    <row r="17" spans="1:5" ht="19.95" customHeight="1" x14ac:dyDescent="0.3">
      <c r="A17" s="33" t="s">
        <v>11</v>
      </c>
      <c r="B17" s="35" t="s">
        <v>13</v>
      </c>
      <c r="C17" s="35"/>
    </row>
    <row r="18" spans="1:5" ht="19.95" customHeight="1" x14ac:dyDescent="0.3">
      <c r="A18" s="34"/>
      <c r="B18" s="15" t="s">
        <v>24</v>
      </c>
      <c r="C18" s="16" t="s">
        <v>25</v>
      </c>
    </row>
    <row r="19" spans="1:5" ht="19.95" customHeight="1" x14ac:dyDescent="0.3">
      <c r="A19" s="2" t="s">
        <v>62</v>
      </c>
      <c r="B19" s="10" t="e">
        <f>VLOOKUP($A19,справочник!$B$7:$J$27,6,0)</f>
        <v>#N/A</v>
      </c>
      <c r="C19" s="10">
        <f>VLOOKUP($A19,справочник!$D$7:$G$27,4,0)</f>
        <v>44885</v>
      </c>
    </row>
    <row r="20" spans="1:5" ht="19.95" customHeight="1" x14ac:dyDescent="0.3">
      <c r="A20" s="2" t="s">
        <v>29</v>
      </c>
      <c r="B20" s="10" t="e">
        <f>VLOOKUP($A20,справочник!$B$7:$J$27,6,0)</f>
        <v>#N/A</v>
      </c>
      <c r="C20" s="10">
        <f>VLOOKUP($A20,справочник!$D$7:$G$27,4,0)</f>
        <v>44635</v>
      </c>
      <c r="D20" s="10"/>
    </row>
    <row r="21" spans="1:5" x14ac:dyDescent="0.3">
      <c r="A21" s="13"/>
      <c r="C21" s="12"/>
    </row>
    <row r="22" spans="1:5" ht="19.95" customHeight="1" x14ac:dyDescent="0.3">
      <c r="A22" s="33" t="s">
        <v>11</v>
      </c>
      <c r="B22" s="35" t="s">
        <v>10</v>
      </c>
      <c r="C22" s="35"/>
      <c r="D22" s="25" t="s">
        <v>112</v>
      </c>
      <c r="E22" s="26"/>
    </row>
    <row r="23" spans="1:5" ht="19.95" customHeight="1" x14ac:dyDescent="0.3">
      <c r="A23" s="34"/>
      <c r="B23" s="15" t="s">
        <v>24</v>
      </c>
      <c r="C23" s="16" t="s">
        <v>25</v>
      </c>
      <c r="D23" s="27" t="s">
        <v>113</v>
      </c>
      <c r="E23" s="28"/>
    </row>
    <row r="24" spans="1:5" ht="19.95" customHeight="1" x14ac:dyDescent="0.3">
      <c r="A24" s="2" t="s">
        <v>62</v>
      </c>
      <c r="B24" s="2" t="e">
        <f>VLOOKUP($A24,справочник!$B$7:$D$27,1,0)</f>
        <v>#N/A</v>
      </c>
      <c r="C24" s="2" t="str">
        <f>INDEX(справочник!$B$7:$D$27,20,1)</f>
        <v>INV-SPB-PC-234</v>
      </c>
      <c r="D24" s="39">
        <f>MATCH($A24,справочник!$D$7:$D$27,0)</f>
        <v>20</v>
      </c>
    </row>
    <row r="25" spans="1:5" ht="19.95" customHeight="1" x14ac:dyDescent="0.3">
      <c r="A25" s="2" t="s">
        <v>29</v>
      </c>
      <c r="B25" s="2" t="e">
        <f>VLOOKUP($A25,справочник!$B$7:$D$27,1,0)</f>
        <v>#N/A</v>
      </c>
      <c r="C25" s="2" t="str">
        <f>INDEX(справочник!$B$7:$D$27,MATCH($A25,справочник!$D$7:$D$27,0),1)</f>
        <v>INV-MSK-OF-001</v>
      </c>
      <c r="D25" s="39">
        <f>MATCH($A25,справочник!$D$7:$D$27,0)</f>
        <v>2</v>
      </c>
    </row>
    <row r="26" spans="1:5" x14ac:dyDescent="0.3">
      <c r="D26" s="10"/>
    </row>
    <row r="27" spans="1:5" x14ac:dyDescent="0.3">
      <c r="D27" s="10"/>
    </row>
    <row r="28" spans="1:5" s="18" customFormat="1" ht="19.95" customHeight="1" x14ac:dyDescent="0.3">
      <c r="A28" s="17" t="s">
        <v>72</v>
      </c>
      <c r="C28" s="19"/>
    </row>
    <row r="29" spans="1:5" x14ac:dyDescent="0.3">
      <c r="A29" s="13"/>
      <c r="C29" s="12"/>
    </row>
    <row r="30" spans="1:5" ht="19.95" customHeight="1" x14ac:dyDescent="0.3">
      <c r="A30" s="33" t="s">
        <v>23</v>
      </c>
      <c r="B30" s="35" t="s">
        <v>78</v>
      </c>
      <c r="C30" s="35"/>
    </row>
    <row r="31" spans="1:5" ht="19.95" customHeight="1" x14ac:dyDescent="0.3">
      <c r="A31" s="34"/>
      <c r="B31" s="15" t="s">
        <v>24</v>
      </c>
      <c r="C31" s="16" t="s">
        <v>25</v>
      </c>
    </row>
    <row r="32" spans="1:5" ht="19.95" customHeight="1" x14ac:dyDescent="0.3">
      <c r="A32" s="2" t="s">
        <v>68</v>
      </c>
      <c r="B32" s="2" t="str">
        <f>VLOOKUP(A32,справочник!B8:C27,2,0)</f>
        <v>491</v>
      </c>
      <c r="C32" s="2" t="str">
        <f>VLOOKUP($A32,справочник!$B$8:$C$27,2,0)</f>
        <v>491</v>
      </c>
    </row>
    <row r="33" spans="1:4" ht="19.95" customHeight="1" x14ac:dyDescent="0.3">
      <c r="A33" s="2" t="s">
        <v>28</v>
      </c>
      <c r="B33" s="2" t="e">
        <f>VLOOKUP(A33,справочник!B9:C28,2,0)</f>
        <v>#N/A</v>
      </c>
      <c r="C33" s="2" t="str">
        <f>VLOOKUP($A33,справочник!$B$8:$C$27,2,0)</f>
        <v>153</v>
      </c>
      <c r="D33" s="10"/>
    </row>
    <row r="36" spans="1:4" s="18" customFormat="1" ht="19.95" customHeight="1" x14ac:dyDescent="0.3">
      <c r="A36" s="17" t="s">
        <v>98</v>
      </c>
      <c r="C36" s="19"/>
    </row>
    <row r="37" spans="1:4" x14ac:dyDescent="0.3">
      <c r="A37" s="13"/>
      <c r="C37" s="12"/>
    </row>
    <row r="38" spans="1:4" ht="19.95" customHeight="1" x14ac:dyDescent="0.3">
      <c r="A38" s="33" t="s">
        <v>23</v>
      </c>
      <c r="B38" s="35" t="s">
        <v>13</v>
      </c>
      <c r="C38" s="35"/>
    </row>
    <row r="39" spans="1:4" ht="19.95" customHeight="1" x14ac:dyDescent="0.3">
      <c r="A39" s="34"/>
      <c r="B39" s="15" t="s">
        <v>24</v>
      </c>
      <c r="C39" s="16" t="s">
        <v>25</v>
      </c>
    </row>
    <row r="40" spans="1:4" ht="19.95" customHeight="1" x14ac:dyDescent="0.3">
      <c r="A40" s="2" t="s">
        <v>68</v>
      </c>
      <c r="B40" s="10" t="e">
        <f>VLOOKUP($A40,справочник!$B$7:$E$27,6,0)</f>
        <v>#REF!</v>
      </c>
      <c r="C40" s="10">
        <f>VLOOKUP($A40,справочник!$B$7:$G$27,6,0)</f>
        <v>44767</v>
      </c>
    </row>
    <row r="41" spans="1:4" ht="19.95" customHeight="1" x14ac:dyDescent="0.3">
      <c r="A41" s="2" t="s">
        <v>28</v>
      </c>
      <c r="B41" s="10" t="e">
        <f>VLOOKUP($A41,справочник!$B$7:$E$27,6,0)</f>
        <v>#REF!</v>
      </c>
      <c r="C41" s="10">
        <f>VLOOKUP($A41,справочник!$B$7:$G$27,6,0)</f>
        <v>44635</v>
      </c>
      <c r="D41" s="10"/>
    </row>
    <row r="42" spans="1:4" ht="19.95" customHeight="1" x14ac:dyDescent="0.3">
      <c r="B42" s="10"/>
      <c r="C42" s="10"/>
      <c r="D42" s="10"/>
    </row>
    <row r="44" spans="1:4" s="18" customFormat="1" ht="19.95" customHeight="1" x14ac:dyDescent="0.3">
      <c r="A44" s="17" t="s">
        <v>99</v>
      </c>
      <c r="C44" s="19"/>
    </row>
    <row r="45" spans="1:4" x14ac:dyDescent="0.3">
      <c r="A45" s="13"/>
      <c r="C45" s="12"/>
    </row>
    <row r="46" spans="1:4" ht="19.95" customHeight="1" x14ac:dyDescent="0.3">
      <c r="A46" s="33" t="s">
        <v>23</v>
      </c>
      <c r="B46" s="35" t="s">
        <v>12</v>
      </c>
      <c r="C46" s="35"/>
    </row>
    <row r="47" spans="1:4" ht="19.95" customHeight="1" x14ac:dyDescent="0.3">
      <c r="A47" s="34"/>
      <c r="B47" s="15" t="s">
        <v>24</v>
      </c>
      <c r="C47" s="16" t="s">
        <v>25</v>
      </c>
    </row>
    <row r="48" spans="1:4" ht="19.95" customHeight="1" x14ac:dyDescent="0.3">
      <c r="A48" s="2" t="s">
        <v>68</v>
      </c>
      <c r="B48" s="10" t="e">
        <f>VLOOKUP(A48,справочник!$B$7:$E$27,5,0)</f>
        <v>#REF!</v>
      </c>
      <c r="C48" s="10" t="str">
        <f>VLOOKUP(A48,справочник!$B$7:$E$27,4,0)</f>
        <v>IT-оборудование</v>
      </c>
    </row>
    <row r="49" spans="1:4" ht="19.95" customHeight="1" x14ac:dyDescent="0.3">
      <c r="A49" s="2" t="s">
        <v>28</v>
      </c>
      <c r="B49" s="10" t="str">
        <f>VLOOKUP(A49,справочник!$B$7:$J$27,5,0)</f>
        <v>Москва</v>
      </c>
      <c r="C49" s="10" t="str">
        <f>VLOOKUP(A49,справочник!$B$7:$E$27,4,0)</f>
        <v>Офисная техника</v>
      </c>
      <c r="D49" s="10"/>
    </row>
    <row r="52" spans="1:4" s="18" customFormat="1" ht="19.95" customHeight="1" x14ac:dyDescent="0.3">
      <c r="A52" s="17" t="s">
        <v>100</v>
      </c>
      <c r="C52" s="19"/>
    </row>
    <row r="53" spans="1:4" x14ac:dyDescent="0.3">
      <c r="A53" s="13"/>
      <c r="C53" s="12"/>
    </row>
    <row r="54" spans="1:4" ht="19.95" customHeight="1" x14ac:dyDescent="0.3">
      <c r="A54" s="33" t="s">
        <v>78</v>
      </c>
      <c r="B54" s="35" t="s">
        <v>11</v>
      </c>
      <c r="C54" s="35"/>
    </row>
    <row r="55" spans="1:4" ht="19.95" customHeight="1" x14ac:dyDescent="0.3">
      <c r="A55" s="34"/>
      <c r="B55" s="15" t="s">
        <v>24</v>
      </c>
      <c r="C55" s="16" t="s">
        <v>25</v>
      </c>
    </row>
    <row r="56" spans="1:4" ht="19.95" customHeight="1" x14ac:dyDescent="0.3">
      <c r="A56" s="2">
        <v>153</v>
      </c>
      <c r="B56" s="10" t="e">
        <f>VLOOKUP(A56,справочник!$C$7:$D$27,2,0)</f>
        <v>#N/A</v>
      </c>
      <c r="C56" s="10" t="str">
        <f>VLOOKUP(TEXT(A56,"@"),справочник!$C$7:$D$27,2,0)</f>
        <v>Принтер HP LaserJet Pro M404dn</v>
      </c>
      <c r="D56" s="2" t="str">
        <f>TEXT(A56,"@")</f>
        <v>153</v>
      </c>
    </row>
    <row r="57" spans="1:4" ht="19.95" customHeight="1" x14ac:dyDescent="0.3">
      <c r="A57" s="2">
        <v>483</v>
      </c>
      <c r="B57" s="10" t="e">
        <f>VLOOKUP(A57,справочник!$C$7:$D$27,2,0)</f>
        <v>#N/A</v>
      </c>
      <c r="C57" s="10" t="str">
        <f>VLOOKUP(TEXT(A57,"@"),справочник!$C$7:$D$27,2,0)</f>
        <v>Станок ЧПУ Haas TM-1P</v>
      </c>
      <c r="D57" s="2" t="str">
        <f>TEXT(A57,"@")</f>
        <v>483</v>
      </c>
    </row>
    <row r="58" spans="1:4" ht="19.95" customHeight="1" x14ac:dyDescent="0.3">
      <c r="B58" s="10"/>
      <c r="C58" s="10"/>
    </row>
    <row r="59" spans="1:4" ht="19.95" customHeight="1" x14ac:dyDescent="0.3">
      <c r="A59" s="33" t="s">
        <v>13</v>
      </c>
      <c r="B59" s="35" t="s">
        <v>15</v>
      </c>
      <c r="C59" s="35"/>
    </row>
    <row r="60" spans="1:4" ht="19.95" customHeight="1" x14ac:dyDescent="0.3">
      <c r="A60" s="34"/>
      <c r="B60" s="15" t="s">
        <v>24</v>
      </c>
      <c r="C60" s="16" t="s">
        <v>25</v>
      </c>
    </row>
    <row r="61" spans="1:4" ht="19.95" customHeight="1" x14ac:dyDescent="0.3">
      <c r="A61" s="21" t="s">
        <v>101</v>
      </c>
      <c r="B61" s="5" t="e">
        <f>VLOOKUP($A61,справочник!$G$7:$I$27,3,0)</f>
        <v>#N/A</v>
      </c>
      <c r="C61" s="5">
        <f>VLOOKUP(VALUE(A61),справочник!$G$7:$I$27,3,0)</f>
        <v>36</v>
      </c>
      <c r="D61" s="2">
        <f>VALUE(A61)</f>
        <v>44671</v>
      </c>
    </row>
    <row r="62" spans="1:4" ht="19.95" customHeight="1" x14ac:dyDescent="0.3">
      <c r="A62" s="21" t="s">
        <v>102</v>
      </c>
      <c r="B62" s="5" t="e">
        <f>VLOOKUP(A62,справочник!$G$7:$I$27,3,0)</f>
        <v>#N/A</v>
      </c>
      <c r="C62" s="5">
        <f>VLOOKUP(VALUE(A62),справочник!$G$7:$I$27,3,0)</f>
        <v>96</v>
      </c>
      <c r="D62" s="2">
        <f>VALUE(A62)</f>
        <v>44829</v>
      </c>
    </row>
    <row r="63" spans="1:4" ht="19.95" customHeight="1" x14ac:dyDescent="0.3">
      <c r="B63" s="10"/>
      <c r="C63" s="10"/>
    </row>
    <row r="65" spans="1:4" s="18" customFormat="1" ht="19.95" customHeight="1" x14ac:dyDescent="0.3">
      <c r="A65" s="17" t="s">
        <v>103</v>
      </c>
      <c r="C65" s="19"/>
    </row>
    <row r="66" spans="1:4" x14ac:dyDescent="0.3">
      <c r="A66" s="13"/>
      <c r="C66" s="12"/>
    </row>
    <row r="67" spans="1:4" ht="19.95" customHeight="1" x14ac:dyDescent="0.3">
      <c r="A67" s="33" t="s">
        <v>23</v>
      </c>
      <c r="B67" s="29" t="s">
        <v>10</v>
      </c>
      <c r="C67" s="36" t="s">
        <v>105</v>
      </c>
    </row>
    <row r="68" spans="1:4" ht="19.95" customHeight="1" x14ac:dyDescent="0.3">
      <c r="A68" s="34"/>
      <c r="B68" s="29"/>
      <c r="C68" s="36"/>
    </row>
    <row r="69" spans="1:4" ht="19.95" customHeight="1" x14ac:dyDescent="0.3">
      <c r="A69" s="2" t="s">
        <v>74</v>
      </c>
      <c r="B69" s="2" t="e">
        <f>VLOOKUP(A69,справочник!$B$7:$C$27,2,0)</f>
        <v>#N/A</v>
      </c>
      <c r="C69" s="22" t="s">
        <v>106</v>
      </c>
    </row>
    <row r="70" spans="1:4" ht="19.95" customHeight="1" x14ac:dyDescent="0.3">
      <c r="A70" s="2" t="s">
        <v>76</v>
      </c>
      <c r="B70" s="2" t="e">
        <f>VLOOKUP(A70,справочник!$B$7:$C$27,2,0)</f>
        <v>#N/A</v>
      </c>
      <c r="C70" s="23" t="s">
        <v>107</v>
      </c>
      <c r="D70" s="10"/>
    </row>
    <row r="71" spans="1:4" ht="19.95" customHeight="1" x14ac:dyDescent="0.3">
      <c r="A71" s="2" t="s">
        <v>104</v>
      </c>
      <c r="B71" s="2" t="e">
        <f>VLOOKUP(A71,справочник!$B$7:$C$27,2,0)</f>
        <v>#N/A</v>
      </c>
      <c r="C71" s="23" t="s">
        <v>108</v>
      </c>
      <c r="D71" s="10"/>
    </row>
    <row r="72" spans="1:4" ht="19.95" customHeight="1" x14ac:dyDescent="0.3">
      <c r="A72" s="2" t="s">
        <v>109</v>
      </c>
      <c r="B72" s="2" t="e">
        <f>VLOOKUP(A72,справочник!$B$7:$C$27,2,0)</f>
        <v>#N/A</v>
      </c>
      <c r="C72" s="23" t="s">
        <v>110</v>
      </c>
      <c r="D72" s="10"/>
    </row>
    <row r="73" spans="1:4" ht="19.95" customHeight="1" x14ac:dyDescent="0.3">
      <c r="A73" s="2" t="s">
        <v>73</v>
      </c>
      <c r="B73" s="2" t="e">
        <f>VLOOKUP($A73,справочник!$B$7:$C$27,2,0)</f>
        <v>#N/A</v>
      </c>
      <c r="C73" s="23" t="s">
        <v>111</v>
      </c>
      <c r="D73" s="40" t="str">
        <f>IFERROR($B$73,"")</f>
        <v/>
      </c>
    </row>
    <row r="74" spans="1:4" x14ac:dyDescent="0.3">
      <c r="B74" s="40" t="str">
        <f>IFERROR(VLOOKUP($A73,справочник!$B$7:$C$27,2,0),"такого значения нет в справочнике")</f>
        <v>такого значения нет в справочнике</v>
      </c>
      <c r="D74" s="40" t="str">
        <f>IFERROR($B$73,"-")</f>
        <v>-</v>
      </c>
    </row>
    <row r="75" spans="1:4" x14ac:dyDescent="0.3">
      <c r="D75" s="40" t="str">
        <f>IFERROR($B$73,"!! нет данных")</f>
        <v>!! нет данных</v>
      </c>
    </row>
  </sheetData>
  <mergeCells count="27">
    <mergeCell ref="A17:A18"/>
    <mergeCell ref="B17:C17"/>
    <mergeCell ref="A59:A60"/>
    <mergeCell ref="B59:C59"/>
    <mergeCell ref="C67:C68"/>
    <mergeCell ref="A38:A39"/>
    <mergeCell ref="B38:C38"/>
    <mergeCell ref="A46:A47"/>
    <mergeCell ref="B46:C46"/>
    <mergeCell ref="A54:A55"/>
    <mergeCell ref="B54:C54"/>
    <mergeCell ref="D22:E22"/>
    <mergeCell ref="D23:E23"/>
    <mergeCell ref="B67:B68"/>
    <mergeCell ref="D1:E1"/>
    <mergeCell ref="D2:E2"/>
    <mergeCell ref="D3:E3"/>
    <mergeCell ref="D4:E4"/>
    <mergeCell ref="A3:B4"/>
    <mergeCell ref="A1:B2"/>
    <mergeCell ref="A30:A31"/>
    <mergeCell ref="B30:C30"/>
    <mergeCell ref="A67:A68"/>
    <mergeCell ref="B9:C9"/>
    <mergeCell ref="A9:A10"/>
    <mergeCell ref="A22:A23"/>
    <mergeCell ref="B22:C22"/>
  </mergeCells>
  <hyperlinks>
    <hyperlink ref="D1" r:id="rId1" xr:uid="{B7E9E479-CD34-4F6C-B29D-8351FABBBCEC}"/>
    <hyperlink ref="D2" r:id="rId2" xr:uid="{F5DFFBA5-2B5E-4C09-AEC2-159DF6DB8EAC}"/>
    <hyperlink ref="D3" r:id="rId3" xr:uid="{6810A66C-6BD8-469A-8660-545863110F63}"/>
    <hyperlink ref="D4" r:id="rId4" xr:uid="{1590E20E-00A0-4F88-B7A2-D7E5EAA6B8F0}"/>
    <hyperlink ref="D1:E1" r:id="rId5" display="https://first.excel-club.ru" xr:uid="{18AA37BB-27FB-4B46-8ABA-50AC60D5D553}"/>
    <hyperlink ref="D23" r:id="rId6" xr:uid="{43F55A45-AF43-4C6B-8049-8FA701B4FC7B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7AEA-1EE7-459C-8F23-A5776272572E}">
  <dimension ref="A1:J36"/>
  <sheetViews>
    <sheetView zoomScale="90" zoomScaleNormal="90" workbookViewId="0">
      <pane ySplit="7" topLeftCell="A8" activePane="bottomLeft" state="frozen"/>
      <selection pane="bottomLeft" activeCell="B22" sqref="B22"/>
    </sheetView>
  </sheetViews>
  <sheetFormatPr defaultRowHeight="14.4" x14ac:dyDescent="0.3"/>
  <cols>
    <col min="1" max="1" width="8.69921875" style="2" customWidth="1"/>
    <col min="2" max="2" width="24.3984375" style="2" customWidth="1"/>
    <col min="3" max="3" width="14.296875" style="2" customWidth="1"/>
    <col min="4" max="4" width="39.09765625" style="5" customWidth="1"/>
    <col min="5" max="5" width="26.69921875" style="2" customWidth="1"/>
    <col min="6" max="6" width="20.59765625" style="2" customWidth="1"/>
    <col min="7" max="7" width="14.8984375" style="2" customWidth="1"/>
    <col min="8" max="8" width="20.69921875" style="2" customWidth="1"/>
    <col min="9" max="9" width="13.8984375" style="2" customWidth="1"/>
    <col min="10" max="10" width="28.09765625" style="2" customWidth="1"/>
    <col min="11" max="11" width="36.59765625" style="2" customWidth="1"/>
    <col min="12" max="12" width="17.296875" style="2" customWidth="1"/>
    <col min="13" max="13" width="17.59765625" style="2" customWidth="1"/>
    <col min="14" max="14" width="8.796875" style="2" customWidth="1"/>
    <col min="15" max="16384" width="8.796875" style="2"/>
  </cols>
  <sheetData>
    <row r="1" spans="1:10" s="4" customFormat="1" ht="13.3" customHeight="1" x14ac:dyDescent="0.3">
      <c r="A1" s="6"/>
      <c r="B1" s="37" t="s">
        <v>114</v>
      </c>
      <c r="C1" s="37"/>
      <c r="D1" s="20" t="s">
        <v>0</v>
      </c>
      <c r="E1" s="30" t="s">
        <v>1</v>
      </c>
      <c r="F1" s="30"/>
      <c r="I1" s="3"/>
      <c r="J1" s="3"/>
    </row>
    <row r="2" spans="1:10" s="4" customFormat="1" ht="13.3" customHeight="1" x14ac:dyDescent="0.3">
      <c r="A2" s="6"/>
      <c r="B2" s="37"/>
      <c r="C2" s="37"/>
      <c r="D2" s="20" t="s">
        <v>2</v>
      </c>
      <c r="E2" s="30" t="s">
        <v>3</v>
      </c>
      <c r="F2" s="30"/>
      <c r="I2" s="3"/>
      <c r="J2" s="3"/>
    </row>
    <row r="3" spans="1:10" s="4" customFormat="1" ht="13.3" customHeight="1" x14ac:dyDescent="0.3">
      <c r="A3" s="7"/>
      <c r="B3" s="38" t="s">
        <v>115</v>
      </c>
      <c r="C3" s="38"/>
      <c r="D3" s="20" t="s">
        <v>4</v>
      </c>
      <c r="E3" s="30" t="s">
        <v>5</v>
      </c>
      <c r="F3" s="30"/>
      <c r="I3" s="3"/>
      <c r="J3" s="3"/>
    </row>
    <row r="4" spans="1:10" s="4" customFormat="1" ht="13.3" customHeight="1" x14ac:dyDescent="0.3">
      <c r="A4" s="7"/>
      <c r="B4" s="38"/>
      <c r="C4" s="38"/>
      <c r="D4" s="20" t="s">
        <v>6</v>
      </c>
      <c r="E4" s="30" t="s">
        <v>7</v>
      </c>
      <c r="F4" s="30"/>
      <c r="I4" s="3"/>
      <c r="J4" s="3"/>
    </row>
    <row r="5" spans="1:10" ht="7.2" customHeight="1" x14ac:dyDescent="0.3"/>
    <row r="6" spans="1:10" ht="18.850000000000001" customHeight="1" x14ac:dyDescent="0.3">
      <c r="B6" s="8" t="s">
        <v>22</v>
      </c>
      <c r="C6" s="8"/>
      <c r="D6" s="2"/>
      <c r="E6" s="5"/>
    </row>
    <row r="7" spans="1:10" ht="31.6" customHeight="1" x14ac:dyDescent="0.3">
      <c r="B7" s="1" t="s">
        <v>10</v>
      </c>
      <c r="C7" s="1" t="s">
        <v>78</v>
      </c>
      <c r="D7" s="1" t="s">
        <v>11</v>
      </c>
      <c r="E7" s="1" t="s">
        <v>12</v>
      </c>
      <c r="F7" s="1" t="s">
        <v>26</v>
      </c>
      <c r="G7" s="1" t="s">
        <v>13</v>
      </c>
      <c r="H7" s="1" t="s">
        <v>14</v>
      </c>
      <c r="I7" s="1" t="s">
        <v>15</v>
      </c>
      <c r="J7" s="1" t="s">
        <v>16</v>
      </c>
    </row>
    <row r="8" spans="1:10" x14ac:dyDescent="0.3">
      <c r="B8" s="2" t="s">
        <v>28</v>
      </c>
      <c r="C8" s="9" t="s">
        <v>92</v>
      </c>
      <c r="D8" s="2" t="s">
        <v>29</v>
      </c>
      <c r="E8" s="2" t="s">
        <v>8</v>
      </c>
      <c r="F8" s="2" t="s">
        <v>30</v>
      </c>
      <c r="G8" s="10">
        <v>44635</v>
      </c>
      <c r="H8" s="5">
        <v>35000</v>
      </c>
      <c r="I8" s="2">
        <v>36</v>
      </c>
      <c r="J8" s="2" t="s">
        <v>17</v>
      </c>
    </row>
    <row r="9" spans="1:10" x14ac:dyDescent="0.3">
      <c r="B9" s="2" t="s">
        <v>32</v>
      </c>
      <c r="C9" s="9" t="s">
        <v>93</v>
      </c>
      <c r="D9" s="2" t="s">
        <v>33</v>
      </c>
      <c r="E9" s="2" t="s">
        <v>34</v>
      </c>
      <c r="F9" s="2" t="s">
        <v>35</v>
      </c>
      <c r="G9" s="10">
        <v>44661</v>
      </c>
      <c r="H9" s="5">
        <v>1850000</v>
      </c>
      <c r="I9" s="2">
        <v>84</v>
      </c>
      <c r="J9" s="2" t="s">
        <v>19</v>
      </c>
    </row>
    <row r="10" spans="1:10" x14ac:dyDescent="0.3">
      <c r="B10" s="2" t="s">
        <v>65</v>
      </c>
      <c r="C10" s="9" t="s">
        <v>82</v>
      </c>
      <c r="D10" s="2" t="s">
        <v>29</v>
      </c>
      <c r="E10" s="2" t="s">
        <v>8</v>
      </c>
      <c r="F10" s="2" t="s">
        <v>31</v>
      </c>
      <c r="G10" s="10">
        <v>44671</v>
      </c>
      <c r="H10" s="5">
        <v>36500</v>
      </c>
      <c r="I10" s="2">
        <v>36</v>
      </c>
      <c r="J10" s="2" t="s">
        <v>17</v>
      </c>
    </row>
    <row r="11" spans="1:10" x14ac:dyDescent="0.3">
      <c r="B11" s="2" t="s">
        <v>37</v>
      </c>
      <c r="C11" s="9" t="s">
        <v>94</v>
      </c>
      <c r="D11" s="2" t="s">
        <v>38</v>
      </c>
      <c r="E11" s="2" t="s">
        <v>18</v>
      </c>
      <c r="F11" s="2" t="s">
        <v>30</v>
      </c>
      <c r="G11" s="10">
        <v>44686</v>
      </c>
      <c r="H11" s="5">
        <v>2300000</v>
      </c>
      <c r="I11" s="2">
        <v>60</v>
      </c>
      <c r="J11" s="2" t="s">
        <v>19</v>
      </c>
    </row>
    <row r="12" spans="1:10" x14ac:dyDescent="0.3">
      <c r="B12" s="2" t="s">
        <v>66</v>
      </c>
      <c r="C12" s="9" t="s">
        <v>95</v>
      </c>
      <c r="D12" s="2" t="s">
        <v>33</v>
      </c>
      <c r="E12" s="2" t="s">
        <v>34</v>
      </c>
      <c r="F12" s="2" t="s">
        <v>36</v>
      </c>
      <c r="G12" s="10">
        <v>44696</v>
      </c>
      <c r="H12" s="5">
        <v>1870000</v>
      </c>
      <c r="I12" s="2">
        <v>84</v>
      </c>
      <c r="J12" s="2" t="s">
        <v>19</v>
      </c>
    </row>
    <row r="13" spans="1:10" x14ac:dyDescent="0.3">
      <c r="B13" s="2" t="s">
        <v>67</v>
      </c>
      <c r="C13" s="9" t="s">
        <v>96</v>
      </c>
      <c r="D13" s="2" t="s">
        <v>38</v>
      </c>
      <c r="E13" s="2" t="s">
        <v>18</v>
      </c>
      <c r="F13" s="2" t="s">
        <v>39</v>
      </c>
      <c r="G13" s="10">
        <v>44722</v>
      </c>
      <c r="H13" s="5">
        <v>2280000</v>
      </c>
      <c r="I13" s="2">
        <v>60</v>
      </c>
      <c r="J13" s="2" t="s">
        <v>19</v>
      </c>
    </row>
    <row r="14" spans="1:10" x14ac:dyDescent="0.3">
      <c r="B14" s="2" t="s">
        <v>40</v>
      </c>
      <c r="C14" s="9" t="s">
        <v>79</v>
      </c>
      <c r="D14" s="2" t="s">
        <v>41</v>
      </c>
      <c r="E14" s="2" t="s">
        <v>20</v>
      </c>
      <c r="F14" s="2" t="s">
        <v>36</v>
      </c>
      <c r="G14" s="10">
        <v>44732</v>
      </c>
      <c r="H14" s="5">
        <v>420000</v>
      </c>
      <c r="I14" s="2">
        <v>48</v>
      </c>
      <c r="J14" s="2" t="s">
        <v>17</v>
      </c>
    </row>
    <row r="15" spans="1:10" x14ac:dyDescent="0.3">
      <c r="B15" s="2" t="s">
        <v>42</v>
      </c>
      <c r="C15" s="9" t="s">
        <v>80</v>
      </c>
      <c r="D15" s="2" t="s">
        <v>43</v>
      </c>
      <c r="E15" s="2" t="s">
        <v>21</v>
      </c>
      <c r="F15" s="2" t="s">
        <v>30</v>
      </c>
      <c r="G15" s="10">
        <v>44743</v>
      </c>
      <c r="H15" s="5">
        <v>340000</v>
      </c>
      <c r="I15" s="2">
        <v>72</v>
      </c>
      <c r="J15" s="2" t="s">
        <v>17</v>
      </c>
    </row>
    <row r="16" spans="1:10" x14ac:dyDescent="0.3">
      <c r="B16" s="2" t="s">
        <v>68</v>
      </c>
      <c r="C16" s="9" t="s">
        <v>81</v>
      </c>
      <c r="D16" s="2" t="s">
        <v>41</v>
      </c>
      <c r="E16" s="2" t="s">
        <v>20</v>
      </c>
      <c r="F16" s="2" t="s">
        <v>31</v>
      </c>
      <c r="G16" s="10">
        <v>44767</v>
      </c>
      <c r="H16" s="5">
        <v>435000</v>
      </c>
      <c r="I16" s="2">
        <v>48</v>
      </c>
      <c r="J16" s="2" t="s">
        <v>17</v>
      </c>
    </row>
    <row r="17" spans="2:10" x14ac:dyDescent="0.3">
      <c r="B17" s="2" t="s">
        <v>69</v>
      </c>
      <c r="C17" s="9" t="s">
        <v>83</v>
      </c>
      <c r="D17" s="2" t="s">
        <v>43</v>
      </c>
      <c r="E17" s="2" t="s">
        <v>21</v>
      </c>
      <c r="F17" s="2" t="s">
        <v>35</v>
      </c>
      <c r="G17" s="10">
        <v>44778</v>
      </c>
      <c r="H17" s="5">
        <v>325000</v>
      </c>
      <c r="I17" s="2">
        <v>72</v>
      </c>
      <c r="J17" s="2" t="s">
        <v>17</v>
      </c>
    </row>
    <row r="18" spans="2:10" x14ac:dyDescent="0.3">
      <c r="B18" s="2" t="s">
        <v>44</v>
      </c>
      <c r="C18" s="9" t="s">
        <v>84</v>
      </c>
      <c r="D18" s="2" t="s">
        <v>45</v>
      </c>
      <c r="E18" s="2" t="s">
        <v>20</v>
      </c>
      <c r="F18" s="2" t="s">
        <v>39</v>
      </c>
      <c r="G18" s="10">
        <v>44788</v>
      </c>
      <c r="H18" s="5">
        <v>185000</v>
      </c>
      <c r="I18" s="2">
        <v>60</v>
      </c>
      <c r="J18" s="2" t="s">
        <v>17</v>
      </c>
    </row>
    <row r="19" spans="2:10" x14ac:dyDescent="0.3">
      <c r="B19" s="2" t="s">
        <v>46</v>
      </c>
      <c r="C19" s="9" t="s">
        <v>85</v>
      </c>
      <c r="D19" s="2" t="s">
        <v>47</v>
      </c>
      <c r="E19" s="2" t="s">
        <v>48</v>
      </c>
      <c r="F19" s="2" t="s">
        <v>30</v>
      </c>
      <c r="G19" s="10">
        <v>44814</v>
      </c>
      <c r="H19" s="5">
        <v>3500000</v>
      </c>
      <c r="I19" s="2">
        <v>84</v>
      </c>
      <c r="J19" s="2" t="s">
        <v>19</v>
      </c>
    </row>
    <row r="20" spans="2:10" x14ac:dyDescent="0.3">
      <c r="B20" s="2" t="s">
        <v>70</v>
      </c>
      <c r="C20" s="9" t="s">
        <v>86</v>
      </c>
      <c r="D20" s="2" t="s">
        <v>45</v>
      </c>
      <c r="E20" s="2" t="s">
        <v>20</v>
      </c>
      <c r="F20" s="2" t="s">
        <v>36</v>
      </c>
      <c r="G20" s="10">
        <v>44824</v>
      </c>
      <c r="H20" s="5">
        <v>190000</v>
      </c>
      <c r="I20" s="2">
        <v>60</v>
      </c>
      <c r="J20" s="2" t="s">
        <v>17</v>
      </c>
    </row>
    <row r="21" spans="2:10" x14ac:dyDescent="0.3">
      <c r="B21" s="2" t="s">
        <v>49</v>
      </c>
      <c r="C21" s="9" t="s">
        <v>87</v>
      </c>
      <c r="D21" s="2" t="s">
        <v>50</v>
      </c>
      <c r="E21" s="2" t="s">
        <v>9</v>
      </c>
      <c r="F21" s="2" t="s">
        <v>31</v>
      </c>
      <c r="G21" s="10">
        <v>44829</v>
      </c>
      <c r="H21" s="5">
        <v>2100000</v>
      </c>
      <c r="I21" s="2">
        <v>96</v>
      </c>
      <c r="J21" s="2" t="s">
        <v>17</v>
      </c>
    </row>
    <row r="22" spans="2:10" x14ac:dyDescent="0.3">
      <c r="B22" s="2" t="s">
        <v>51</v>
      </c>
      <c r="C22" s="9" t="s">
        <v>88</v>
      </c>
      <c r="D22" s="2" t="s">
        <v>52</v>
      </c>
      <c r="E22" s="2" t="s">
        <v>53</v>
      </c>
      <c r="F22" s="2" t="s">
        <v>39</v>
      </c>
      <c r="G22" s="10">
        <v>44839</v>
      </c>
      <c r="H22" s="5">
        <v>680000</v>
      </c>
      <c r="I22" s="2">
        <v>72</v>
      </c>
      <c r="J22" s="2" t="s">
        <v>17</v>
      </c>
    </row>
    <row r="23" spans="2:10" x14ac:dyDescent="0.3">
      <c r="B23" s="2" t="s">
        <v>54</v>
      </c>
      <c r="C23" s="9" t="s">
        <v>89</v>
      </c>
      <c r="D23" s="2" t="s">
        <v>55</v>
      </c>
      <c r="E23" s="2" t="s">
        <v>8</v>
      </c>
      <c r="F23" s="2" t="s">
        <v>35</v>
      </c>
      <c r="G23" s="10">
        <v>44849</v>
      </c>
      <c r="H23" s="5">
        <v>32000</v>
      </c>
      <c r="I23" s="2">
        <v>36</v>
      </c>
      <c r="J23" s="2" t="s">
        <v>19</v>
      </c>
    </row>
    <row r="24" spans="2:10" x14ac:dyDescent="0.3">
      <c r="B24" s="2" t="s">
        <v>56</v>
      </c>
      <c r="C24" s="9" t="s">
        <v>77</v>
      </c>
      <c r="D24" s="2" t="s">
        <v>57</v>
      </c>
      <c r="E24" s="2" t="s">
        <v>58</v>
      </c>
      <c r="F24" s="2" t="s">
        <v>36</v>
      </c>
      <c r="G24" s="10">
        <v>44866</v>
      </c>
      <c r="H24" s="5">
        <v>78000</v>
      </c>
      <c r="I24" s="2">
        <v>60</v>
      </c>
      <c r="J24" s="2" t="s">
        <v>17</v>
      </c>
    </row>
    <row r="25" spans="2:10" x14ac:dyDescent="0.3">
      <c r="B25" s="2" t="s">
        <v>59</v>
      </c>
      <c r="C25" s="9" t="s">
        <v>90</v>
      </c>
      <c r="D25" s="2" t="s">
        <v>60</v>
      </c>
      <c r="E25" s="2" t="s">
        <v>9</v>
      </c>
      <c r="F25" s="2" t="s">
        <v>30</v>
      </c>
      <c r="G25" s="10">
        <v>44875</v>
      </c>
      <c r="H25" s="5">
        <v>64000</v>
      </c>
      <c r="I25" s="2">
        <v>120</v>
      </c>
      <c r="J25" s="2" t="s">
        <v>17</v>
      </c>
    </row>
    <row r="26" spans="2:10" x14ac:dyDescent="0.3">
      <c r="B26" s="2" t="s">
        <v>61</v>
      </c>
      <c r="C26" s="9" t="s">
        <v>91</v>
      </c>
      <c r="D26" s="2" t="s">
        <v>62</v>
      </c>
      <c r="E26" s="2" t="s">
        <v>20</v>
      </c>
      <c r="F26" s="2" t="s">
        <v>31</v>
      </c>
      <c r="G26" s="10">
        <v>44885</v>
      </c>
      <c r="H26" s="5">
        <v>210000</v>
      </c>
      <c r="I26" s="2">
        <v>48</v>
      </c>
      <c r="J26" s="2" t="s">
        <v>17</v>
      </c>
    </row>
    <row r="27" spans="2:10" x14ac:dyDescent="0.3">
      <c r="B27" s="2" t="s">
        <v>63</v>
      </c>
      <c r="C27" s="9" t="s">
        <v>97</v>
      </c>
      <c r="D27" s="2" t="s">
        <v>64</v>
      </c>
      <c r="E27" s="2" t="s">
        <v>8</v>
      </c>
      <c r="F27" s="2" t="s">
        <v>39</v>
      </c>
      <c r="G27" s="10">
        <v>44900</v>
      </c>
      <c r="H27" s="5">
        <v>340000</v>
      </c>
      <c r="I27" s="2">
        <v>60</v>
      </c>
      <c r="J27" s="2" t="s">
        <v>19</v>
      </c>
    </row>
    <row r="36" spans="4:4" ht="136.80000000000001" customHeight="1" x14ac:dyDescent="0.3">
      <c r="D36" s="14" t="s">
        <v>27</v>
      </c>
    </row>
  </sheetData>
  <sortState xmlns:xlrd2="http://schemas.microsoft.com/office/spreadsheetml/2017/richdata2" ref="B8:J27">
    <sortCondition ref="G8:G27"/>
  </sortState>
  <mergeCells count="6">
    <mergeCell ref="E1:F1"/>
    <mergeCell ref="E2:F2"/>
    <mergeCell ref="E3:F3"/>
    <mergeCell ref="E4:F4"/>
    <mergeCell ref="B1:C2"/>
    <mergeCell ref="B3:C4"/>
  </mergeCells>
  <phoneticPr fontId="13" type="noConversion"/>
  <hyperlinks>
    <hyperlink ref="E2" r:id="rId1" xr:uid="{A407B18A-1673-4778-A3A6-40E30F97F0C3}"/>
    <hyperlink ref="E3" r:id="rId2" xr:uid="{859C2D1A-8D9D-4138-A927-7E86FED6F98A}"/>
    <hyperlink ref="E4" r:id="rId3" xr:uid="{DCBCCE9A-44FF-4D80-A823-7EA525606C9A}"/>
    <hyperlink ref="E1" r:id="rId4" xr:uid="{AB3F3F10-8154-4BC4-AAFF-AA4BE7FEF59D}"/>
    <hyperlink ref="E1:F1" r:id="rId5" display="https://first.excel-club.ru" xr:uid="{05CB1449-F6EA-4A24-A03F-F05168CD1E8A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ошибки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Пивикова</dc:creator>
  <cp:lastModifiedBy>Ольга Пивикова</cp:lastModifiedBy>
  <dcterms:created xsi:type="dcterms:W3CDTF">2015-06-05T18:19:34Z</dcterms:created>
  <dcterms:modified xsi:type="dcterms:W3CDTF">2025-09-04T06:35:09Z</dcterms:modified>
</cp:coreProperties>
</file>