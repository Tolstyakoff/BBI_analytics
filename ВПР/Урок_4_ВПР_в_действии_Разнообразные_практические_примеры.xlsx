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DOCUMENTS\01_БЛОГ ЭКСЕЛЬ\ExcelClub\ВПР\"/>
    </mc:Choice>
  </mc:AlternateContent>
  <xr:revisionPtr revIDLastSave="0" documentId="13_ncr:1_{2A913C90-34E1-47F9-881B-54415FD2E631}" xr6:coauthVersionLast="47" xr6:coauthVersionMax="47" xr10:uidLastSave="{00000000-0000-0000-0000-000000000000}"/>
  <bookViews>
    <workbookView xWindow="-100" yWindow="-100" windowWidth="21467" windowHeight="11443" tabRatio="700" activeTab="4" xr2:uid="{00000000-000D-0000-FFFF-FFFF00000000}"/>
  </bookViews>
  <sheets>
    <sheet name="задача 1" sheetId="1" r:id="rId1"/>
    <sheet name="задача 2" sheetId="6" r:id="rId2"/>
    <sheet name="задача 3" sheetId="2" r:id="rId3"/>
    <sheet name="задача 4" sheetId="9" r:id="rId4"/>
    <sheet name="задача 5" sheetId="11" r:id="rId5"/>
    <sheet name="справочник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1" l="1"/>
  <c r="C26" i="11"/>
  <c r="D26" i="11"/>
  <c r="E26" i="11"/>
  <c r="F26" i="11"/>
  <c r="G26" i="11"/>
  <c r="H26" i="11"/>
  <c r="B27" i="11"/>
  <c r="C27" i="11"/>
  <c r="D27" i="11"/>
  <c r="E27" i="11"/>
  <c r="F27" i="11"/>
  <c r="G27" i="11"/>
  <c r="H27" i="11"/>
  <c r="B28" i="11"/>
  <c r="C28" i="11"/>
  <c r="D28" i="11"/>
  <c r="E28" i="11"/>
  <c r="F28" i="11"/>
  <c r="G28" i="11"/>
  <c r="H28" i="11"/>
  <c r="B29" i="11"/>
  <c r="C29" i="11"/>
  <c r="D29" i="11"/>
  <c r="E29" i="11"/>
  <c r="F29" i="11"/>
  <c r="G29" i="11"/>
  <c r="H29" i="11"/>
  <c r="B30" i="11"/>
  <c r="C30" i="11"/>
  <c r="D30" i="11"/>
  <c r="E30" i="11"/>
  <c r="F30" i="11"/>
  <c r="G30" i="11"/>
  <c r="H30" i="11"/>
  <c r="B31" i="11"/>
  <c r="C31" i="11"/>
  <c r="D31" i="11"/>
  <c r="E31" i="11"/>
  <c r="F31" i="11"/>
  <c r="G31" i="11"/>
  <c r="H31" i="11"/>
  <c r="B32" i="11"/>
  <c r="C32" i="11"/>
  <c r="D32" i="11"/>
  <c r="E32" i="11"/>
  <c r="F32" i="11"/>
  <c r="G32" i="11"/>
  <c r="H32" i="11"/>
  <c r="B33" i="11"/>
  <c r="C33" i="11"/>
  <c r="D33" i="11"/>
  <c r="E33" i="11"/>
  <c r="F33" i="11"/>
  <c r="G33" i="11"/>
  <c r="H33" i="11"/>
  <c r="B34" i="11"/>
  <c r="C34" i="11"/>
  <c r="D34" i="11"/>
  <c r="E34" i="11"/>
  <c r="F34" i="11"/>
  <c r="G34" i="11"/>
  <c r="H34" i="11"/>
  <c r="B35" i="11"/>
  <c r="C35" i="11"/>
  <c r="D35" i="11"/>
  <c r="E35" i="11"/>
  <c r="F35" i="11"/>
  <c r="G35" i="11"/>
  <c r="H35" i="11"/>
  <c r="C25" i="11"/>
  <c r="D25" i="11"/>
  <c r="E25" i="11"/>
  <c r="F25" i="11"/>
  <c r="G25" i="11"/>
  <c r="H25" i="11"/>
  <c r="B25" i="11"/>
  <c r="G13" i="9"/>
  <c r="G12" i="9"/>
  <c r="F9" i="9"/>
  <c r="E8" i="2"/>
  <c r="D8" i="2"/>
  <c r="A8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11" i="2"/>
  <c r="F10" i="6"/>
  <c r="F11" i="6"/>
  <c r="F12" i="6"/>
  <c r="F9" i="6"/>
  <c r="J9" i="6"/>
  <c r="I9" i="6"/>
  <c r="H9" i="6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9" i="1"/>
</calcChain>
</file>

<file path=xl/sharedStrings.xml><?xml version="1.0" encoding="utf-8"?>
<sst xmlns="http://schemas.openxmlformats.org/spreadsheetml/2006/main" count="342" uniqueCount="163">
  <si>
    <t>Сайт клуба</t>
  </si>
  <si>
    <t>https://first.excel-club.ru</t>
  </si>
  <si>
    <t>ТГ-канал</t>
  </si>
  <si>
    <t>https://t.me/pivikovaexcel</t>
  </si>
  <si>
    <t>Ютуб</t>
  </si>
  <si>
    <t>https://www.youtube.com/@pivikova-excel</t>
  </si>
  <si>
    <t>Вконтакте</t>
  </si>
  <si>
    <t>https://vk.com/pivikova_excel</t>
  </si>
  <si>
    <t>Инвентарный номер</t>
  </si>
  <si>
    <t>Наименование ОС</t>
  </si>
  <si>
    <t>Первонач. стоимость</t>
  </si>
  <si>
    <t>Филиал</t>
  </si>
  <si>
    <t>INV-MSK-OF-001</t>
  </si>
  <si>
    <t>Принтер HP LaserJet Pro M404dn</t>
  </si>
  <si>
    <t>Москва</t>
  </si>
  <si>
    <t>Санкт-Петербург</t>
  </si>
  <si>
    <t>INV-EKB-PD-101</t>
  </si>
  <si>
    <t>Станок ЧПУ Haas TM-1P</t>
  </si>
  <si>
    <t>Екатеринбург</t>
  </si>
  <si>
    <t>Новосибирск</t>
  </si>
  <si>
    <t>INV-MSK-TR-205</t>
  </si>
  <si>
    <t>Автомобиль Volkswagen Tiguan</t>
  </si>
  <si>
    <t>Казань</t>
  </si>
  <si>
    <t>INV-NSK-IT-077</t>
  </si>
  <si>
    <t>Сервер Dell PowerEdge R750</t>
  </si>
  <si>
    <t>INV-MSK-FN-412</t>
  </si>
  <si>
    <t>Мебель офисная (комплект)</t>
  </si>
  <si>
    <t>INV-KZN-SV-309</t>
  </si>
  <si>
    <t>ИБП Eaton 9PX 6000RT</t>
  </si>
  <si>
    <t>INV-MSK-MD-555</t>
  </si>
  <si>
    <t>Медицинский аппарат УЗИ Mindray DC-8</t>
  </si>
  <si>
    <t>INV-SPB-LB-888</t>
  </si>
  <si>
    <t>Лабораторный спектрометр Agilent</t>
  </si>
  <si>
    <t>INV-KZN-AC-777</t>
  </si>
  <si>
    <t>Система кондиционирования Daikin</t>
  </si>
  <si>
    <t>INV-EKB-SC-123</t>
  </si>
  <si>
    <t>Сканер штрихкодов Zebra DS2208</t>
  </si>
  <si>
    <t>INV-NSK-NW-456</t>
  </si>
  <si>
    <t>Коммутатор Cisco Catalyst 9200L</t>
  </si>
  <si>
    <t>INV-MSK-SF-789</t>
  </si>
  <si>
    <t>Сейф металлический APECS LS-30</t>
  </si>
  <si>
    <t>INV-SPB-PC-234</t>
  </si>
  <si>
    <t>Рабочая станция HP Z4 G4</t>
  </si>
  <si>
    <t>INV-KZN-CM-567</t>
  </si>
  <si>
    <t>Видеоконференц-система Poly X50</t>
  </si>
  <si>
    <t>INV-SPB-OF-002</t>
  </si>
  <si>
    <t>INV-NSK-PD-103</t>
  </si>
  <si>
    <t>INV-KZN-TR-207</t>
  </si>
  <si>
    <t>INV-SPB-IT-078</t>
  </si>
  <si>
    <t>INV-EKB-FN-413</t>
  </si>
  <si>
    <t>INV-NSK-SV-310</t>
  </si>
  <si>
    <t>Поиск совпадений и отличий в 2х списках</t>
  </si>
  <si>
    <t>Договор № НФ-28486 от 10.05.2021</t>
  </si>
  <si>
    <t>Договор № НФ-34145 от 10.05.2021</t>
  </si>
  <si>
    <t>Договор № НФ-22926 от 10.05.2021</t>
  </si>
  <si>
    <t>Договор № НФ-49108 от 10.05.2021</t>
  </si>
  <si>
    <t>Договор № НФ-23519 от 10.05.2021</t>
  </si>
  <si>
    <t>Договор № НФ-29412 от 10.05.2021</t>
  </si>
  <si>
    <t>Договор № НФ-18777 от 10.05.2021</t>
  </si>
  <si>
    <t>Договор № НФ-41584 от 10.05.2021</t>
  </si>
  <si>
    <t>Договор № НФ-30818 от 10.05.2021</t>
  </si>
  <si>
    <t>Договор № НФ-49543 от 10.05.2021</t>
  </si>
  <si>
    <t>Договор № НФ-50635 от 10.05.2021</t>
  </si>
  <si>
    <t>Договор № НФ-33709 от 10.05.2021</t>
  </si>
  <si>
    <t>Договор № НФ-21243 от 10.05.2021</t>
  </si>
  <si>
    <t>Договор № НФ-43884 от 10.05.2021</t>
  </si>
  <si>
    <t>Договор № НФ-40614 от 10.05.2021</t>
  </si>
  <si>
    <t>Договор № НФ-36508 от 10.05.2021</t>
  </si>
  <si>
    <t>Договор № НФ-35158 от 10.05.2021</t>
  </si>
  <si>
    <t>Договор № НФ-43377 от 10.05.2021</t>
  </si>
  <si>
    <t>Договор № НФ-52011 от 10.05.2021</t>
  </si>
  <si>
    <t>Договор № НФ-22138 от 10.05.2021</t>
  </si>
  <si>
    <t>Договор № НФ-20187 от 10.05.2021</t>
  </si>
  <si>
    <t>Договор № НФ-40058 от 10.05.2021</t>
  </si>
  <si>
    <t>Договор № НФ-40021 от 10.05.2021</t>
  </si>
  <si>
    <t>Договор № НФ-40195 от 10.05.2021</t>
  </si>
  <si>
    <t>Договор № НФ-35014 от 10.05.2021</t>
  </si>
  <si>
    <t>Договор № НФ-37010 от 10.05.2021</t>
  </si>
  <si>
    <t>Договор № НФ-23964 от 10.05.2021</t>
  </si>
  <si>
    <t>Договор № НФ-32780 от 10.05.2021</t>
  </si>
  <si>
    <t>Договор № НФ-40224 от 10.05.2021</t>
  </si>
  <si>
    <t>Договор № НФ-18542 от 10.05.2021</t>
  </si>
  <si>
    <t>Договор № НФ-26508 от 10.05.2021</t>
  </si>
  <si>
    <t>Договор № НФ-43455 от 10.05.2021</t>
  </si>
  <si>
    <t>Договор № НФ-52588 от 10.05.2021</t>
  </si>
  <si>
    <t>Договор № НФ-36049 от 10.05.2021</t>
  </si>
  <si>
    <t>Договор № НФ-48464 от 10.05.2021</t>
  </si>
  <si>
    <t>Договор № НФ-37697 от 10.05.2021</t>
  </si>
  <si>
    <t>Договор № НФ-26197 от 10.05.2021</t>
  </si>
  <si>
    <t>Договор № НФ-28605 от 10.05.2021</t>
  </si>
  <si>
    <t>Договор № НФ-34823 от 10.05.2021</t>
  </si>
  <si>
    <t>Договор № НФ-24089 от 10.05.2021</t>
  </si>
  <si>
    <t>Договор № НФ-45729 от 10.05.2021</t>
  </si>
  <si>
    <t>Договор № НФ-29418 от 10.05.2021</t>
  </si>
  <si>
    <t>Договор № НФ-29226 от 10.05.2021</t>
  </si>
  <si>
    <t>Договор № НФ-30261 от 10.05.2021</t>
  </si>
  <si>
    <t>Договор № НФ-21511 от 10.05.2021</t>
  </si>
  <si>
    <t>Договор № НФ-34920 от 10.05.2021</t>
  </si>
  <si>
    <t>Договор № НФ-42490 от 10.05.2021</t>
  </si>
  <si>
    <t>Договор № НФ-31742 от 10.05.2021</t>
  </si>
  <si>
    <t>Договор № НФ-27650 от 10.05.2021</t>
  </si>
  <si>
    <t>Договор № НФ-22374 от 10.05.2021</t>
  </si>
  <si>
    <t>Договор № НФ-26336 от 10.05.2021</t>
  </si>
  <si>
    <t>Договор № НФ-21728 от 10.05.2021</t>
  </si>
  <si>
    <t>Договор № НФ-20236 от 10.05.2021</t>
  </si>
  <si>
    <t>Договор № НФ-37498 от 10.05.2021</t>
  </si>
  <si>
    <t>Договор № НФ-21062 от 10.05.2021</t>
  </si>
  <si>
    <t>Договор № НФ-42217 от 10.05.2021</t>
  </si>
  <si>
    <t>Договор № НФ-40871 от 10.05.2021</t>
  </si>
  <si>
    <t>СПИСОК 1</t>
  </si>
  <si>
    <t>СПИСОК 2</t>
  </si>
  <si>
    <t>Поиск по частичному совпадению</t>
  </si>
  <si>
    <t>ID</t>
  </si>
  <si>
    <t>Информация о компании</t>
  </si>
  <si>
    <t>ОКПО</t>
  </si>
  <si>
    <t>ЗАО "ПРОДТОРГ"</t>
  </si>
  <si>
    <t>ООО "СТРОЙГАРАНТ"</t>
  </si>
  <si>
    <t>АО "ТЕХНОИМПОРТ"</t>
  </si>
  <si>
    <t>ИП СИДОРОВ</t>
  </si>
  <si>
    <t>ОКПО 12345678 ИНН 7712345678</t>
  </si>
  <si>
    <t>ОКПО 87654321 ИНН 7754321890</t>
  </si>
  <si>
    <t>ОКПО 11223344 ИНН 7723456789</t>
  </si>
  <si>
    <t>ОКПО 55667777</t>
  </si>
  <si>
    <t>Название компании</t>
  </si>
  <si>
    <t>Поиск по 2м критериям</t>
  </si>
  <si>
    <t>Товар \ Склад</t>
  </si>
  <si>
    <t>СПб</t>
  </si>
  <si>
    <t>Динамическое изменение итогового столбца</t>
  </si>
  <si>
    <t>РЕЗУЛЬТАТ</t>
  </si>
  <si>
    <t>Протягивание столбцов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</si>
  <si>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</si>
  <si>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</si>
  <si>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</si>
  <si>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</si>
  <si>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</si>
  <si>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</si>
  <si>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</si>
  <si>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</si>
  <si>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</si>
  <si>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</si>
  <si>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</si>
  <si>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</si>
  <si>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 квартал</t>
  </si>
  <si>
    <t>2 квартал</t>
  </si>
  <si>
    <t>3 квартал</t>
  </si>
  <si>
    <t>4 квартал</t>
  </si>
  <si>
    <t>Ярославль</t>
  </si>
  <si>
    <t>Воронеж</t>
  </si>
  <si>
    <t>Нижний Новгород</t>
  </si>
  <si>
    <t>Владимир</t>
  </si>
  <si>
    <t>Кострома</t>
  </si>
  <si>
    <t>Рязань</t>
  </si>
  <si>
    <t>Смоленск</t>
  </si>
  <si>
    <t>Тамбов</t>
  </si>
  <si>
    <t>Самара</t>
  </si>
  <si>
    <t>1-е полугодие</t>
  </si>
  <si>
    <t>2-е полугодие</t>
  </si>
  <si>
    <t>ГОД</t>
  </si>
  <si>
    <t>Исходная таблица</t>
  </si>
  <si>
    <t>Отчет</t>
  </si>
  <si>
    <t>ЭКСПРЕСС-КУРС</t>
  </si>
  <si>
    <t>«ВПР в ДЕЙСТВИИ»</t>
  </si>
  <si>
    <t>*87654321*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</si>
</sst>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0"/>
      <name val="Gilroy"/>
      <charset val="204"/>
    </font>
    <font>
      <sz val="11"/>
      <color theme="1"/>
      <name val="Gilroy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Gilroy"/>
      <charset val="204"/>
    </font>
    <font>
      <b/>
      <sz val="8"/>
      <color theme="0"/>
      <name val="Gilroy"/>
      <charset val="204"/>
    </font>
    <font>
      <b/>
      <u/>
      <sz val="8"/>
      <color theme="0"/>
      <name val="Gilroy"/>
      <charset val="204"/>
    </font>
    <font>
      <sz val="8"/>
      <color theme="1"/>
      <name val="Gilroy"/>
      <charset val="204"/>
    </font>
    <font>
      <b/>
      <sz val="18"/>
      <color theme="0"/>
      <name val="Gilroy Bold"/>
      <charset val="204"/>
    </font>
    <font>
      <b/>
      <sz val="11"/>
      <color theme="1"/>
      <name val="Gilroy"/>
      <charset val="204"/>
    </font>
    <font>
      <sz val="8"/>
      <name val="Calibri"/>
      <family val="2"/>
      <scheme val="minor"/>
    </font>
    <font>
      <b/>
      <sz val="11"/>
      <color theme="0"/>
      <name val="Gilroy"/>
      <charset val="204"/>
    </font>
    <font>
      <sz val="10"/>
      <color theme="1"/>
      <name val="Gilroy"/>
      <charset val="204"/>
    </font>
    <font>
      <b/>
      <sz val="10"/>
      <color theme="1"/>
      <name val="Gilroy"/>
      <charset val="204"/>
    </font>
    <font>
      <i/>
      <sz val="11"/>
      <color theme="0" tint="-0.34998626667073579"/>
      <name val="Gilroy"/>
      <charset val="204"/>
    </font>
  </fonts>
  <fills count="1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814BE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dotted">
        <color theme="0"/>
      </right>
      <top/>
      <bottom/>
      <diagonal/>
    </border>
    <border>
      <left style="dotted">
        <color theme="0"/>
      </left>
      <right style="dotted">
        <color theme="0"/>
      </right>
      <top/>
      <bottom/>
      <diagonal/>
    </border>
    <border>
      <left/>
      <right style="dashed">
        <color theme="0"/>
      </right>
      <top/>
      <bottom style="dashed">
        <color theme="0"/>
      </bottom>
      <diagonal/>
    </border>
    <border>
      <left style="dashed">
        <color theme="0"/>
      </left>
      <right/>
      <top/>
      <bottom style="dashed">
        <color theme="0"/>
      </bottom>
      <diagonal/>
    </border>
    <border>
      <left/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/>
      <top style="dashed">
        <color theme="0"/>
      </top>
      <bottom style="dashed">
        <color theme="0"/>
      </bottom>
      <diagonal/>
    </border>
    <border>
      <left/>
      <right style="dashed">
        <color theme="0"/>
      </right>
      <top style="dashed">
        <color theme="0"/>
      </top>
      <bottom/>
      <diagonal/>
    </border>
    <border>
      <left style="dashed">
        <color theme="0"/>
      </left>
      <right/>
      <top style="dashed">
        <color theme="0"/>
      </top>
      <bottom/>
      <diagonal/>
    </border>
    <border>
      <left/>
      <right style="medium">
        <color theme="1" tint="0.2499465926084170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9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4" fontId="2" fillId="4" borderId="0" xfId="0" applyNumberFormat="1" applyFont="1" applyFill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3" fontId="9" fillId="0" borderId="0" xfId="0" applyNumberFormat="1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/>
    </xf>
    <xf numFmtId="3" fontId="13" fillId="10" borderId="0" xfId="0" applyNumberFormat="1" applyFont="1" applyFill="1" applyAlignment="1">
      <alignment horizontal="right" vertical="center"/>
    </xf>
    <xf numFmtId="3" fontId="13" fillId="11" borderId="0" xfId="0" applyNumberFormat="1" applyFont="1" applyFill="1" applyAlignment="1">
      <alignment horizontal="right" vertical="center"/>
    </xf>
    <xf numFmtId="3" fontId="13" fillId="1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3" fontId="12" fillId="0" borderId="9" xfId="0" applyNumberFormat="1" applyFont="1" applyBorder="1" applyAlignment="1">
      <alignment horizontal="left" vertical="center"/>
    </xf>
    <xf numFmtId="3" fontId="12" fillId="7" borderId="0" xfId="0" applyNumberFormat="1" applyFont="1" applyFill="1" applyAlignment="1">
      <alignment horizontal="right" vertical="center"/>
    </xf>
    <xf numFmtId="3" fontId="12" fillId="7" borderId="9" xfId="0" applyNumberFormat="1" applyFont="1" applyFill="1" applyBorder="1" applyAlignment="1">
      <alignment horizontal="right" vertical="center"/>
    </xf>
    <xf numFmtId="3" fontId="12" fillId="14" borderId="0" xfId="0" applyNumberFormat="1" applyFont="1" applyFill="1" applyAlignment="1">
      <alignment horizontal="right" vertical="center"/>
    </xf>
    <xf numFmtId="3" fontId="12" fillId="14" borderId="9" xfId="0" applyNumberFormat="1" applyFont="1" applyFill="1" applyBorder="1" applyAlignment="1">
      <alignment horizontal="right" vertical="center"/>
    </xf>
    <xf numFmtId="3" fontId="12" fillId="6" borderId="9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indent="7"/>
    </xf>
    <xf numFmtId="0" fontId="4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6" fillId="3" borderId="0" xfId="1" applyFont="1" applyFill="1" applyAlignment="1">
      <alignment horizontal="left" vertical="center"/>
    </xf>
    <xf numFmtId="0" fontId="4" fillId="3" borderId="0" xfId="0" applyFont="1" applyFill="1" applyAlignment="1">
      <alignment horizontal="left" indent="7"/>
    </xf>
    <xf numFmtId="0" fontId="8" fillId="3" borderId="0" xfId="0" applyFont="1" applyFill="1" applyAlignment="1">
      <alignment horizontal="left" vertical="top" indent="7"/>
    </xf>
    <xf numFmtId="0" fontId="4" fillId="3" borderId="0" xfId="0" applyFont="1" applyFill="1" applyAlignment="1">
      <alignment horizontal="left" indent="8"/>
    </xf>
    <xf numFmtId="0" fontId="8" fillId="3" borderId="0" xfId="0" applyFont="1" applyFill="1" applyAlignment="1">
      <alignment horizontal="left" vertical="top" indent="8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814BEA"/>
      <color rgb="FFA6D86E"/>
      <color rgb="FF89C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63307</xdr:colOff>
      <xdr:row>0</xdr:row>
      <xdr:rowOff>67993</xdr:rowOff>
    </xdr:from>
    <xdr:to>
      <xdr:col>0</xdr:col>
      <xdr:colOff>666031</xdr:colOff>
      <xdr:row>3</xdr:row>
      <xdr:rowOff>67993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6FF6-BEB8-4C0A-9DB6-6E2EE0B9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07" y="67993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4</xdr:col>
      <xdr:colOff>717451</xdr:colOff>
      <xdr:row>0</xdr:row>
      <xdr:rowOff>85971</xdr:rowOff>
    </xdr:from>
    <xdr:to>
      <xdr:col>5</xdr:col>
      <xdr:colOff>460953</xdr:colOff>
      <xdr:row>3</xdr:row>
      <xdr:rowOff>39077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1DE97-507F-4D30-AC27-D0C9337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8774" y="85971"/>
          <a:ext cx="2244426" cy="4689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78937</xdr:colOff>
      <xdr:row>0</xdr:row>
      <xdr:rowOff>75808</xdr:rowOff>
    </xdr:from>
    <xdr:to>
      <xdr:col>1</xdr:col>
      <xdr:colOff>9538</xdr:colOff>
      <xdr:row>3</xdr:row>
      <xdr:rowOff>75808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40C1B-58FE-41C8-960B-FEF37DCB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7" y="75808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5</xdr:col>
      <xdr:colOff>170373</xdr:colOff>
      <xdr:row>0</xdr:row>
      <xdr:rowOff>70340</xdr:rowOff>
    </xdr:from>
    <xdr:to>
      <xdr:col>6</xdr:col>
      <xdr:colOff>820462</xdr:colOff>
      <xdr:row>3</xdr:row>
      <xdr:rowOff>23446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873AF3-3AD3-4E0E-BD0B-326C3919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8687" y="70340"/>
          <a:ext cx="2245206" cy="4595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78937</xdr:colOff>
      <xdr:row>0</xdr:row>
      <xdr:rowOff>44547</xdr:rowOff>
    </xdr:from>
    <xdr:to>
      <xdr:col>0</xdr:col>
      <xdr:colOff>681661</xdr:colOff>
      <xdr:row>3</xdr:row>
      <xdr:rowOff>44547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A7DED-CA3F-4954-AFB0-8DFE7DE54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7" y="44547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5</xdr:col>
      <xdr:colOff>170373</xdr:colOff>
      <xdr:row>0</xdr:row>
      <xdr:rowOff>70340</xdr:rowOff>
    </xdr:from>
    <xdr:to>
      <xdr:col>6</xdr:col>
      <xdr:colOff>1367538</xdr:colOff>
      <xdr:row>3</xdr:row>
      <xdr:rowOff>23446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03BA6-8039-4132-BEB7-F9A6A7180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8312" y="70340"/>
          <a:ext cx="2244426" cy="4689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78937</xdr:colOff>
      <xdr:row>0</xdr:row>
      <xdr:rowOff>75808</xdr:rowOff>
    </xdr:from>
    <xdr:to>
      <xdr:col>0</xdr:col>
      <xdr:colOff>681661</xdr:colOff>
      <xdr:row>3</xdr:row>
      <xdr:rowOff>75808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2BE82-762A-46C0-902F-7F171CAF8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7" y="75808"/>
          <a:ext cx="598816" cy="506437"/>
        </a:xfrm>
        <a:prstGeom prst="rect">
          <a:avLst/>
        </a:prstGeom>
      </xdr:spPr>
    </xdr:pic>
    <xdr:clientData/>
  </xdr:twoCellAnchor>
  <xdr:twoCellAnchor editAs="oneCell">
    <xdr:from>
      <xdr:col>5</xdr:col>
      <xdr:colOff>397020</xdr:colOff>
      <xdr:row>0</xdr:row>
      <xdr:rowOff>54709</xdr:rowOff>
    </xdr:from>
    <xdr:to>
      <xdr:col>6</xdr:col>
      <xdr:colOff>804832</xdr:colOff>
      <xdr:row>3</xdr:row>
      <xdr:rowOff>7815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68BA-9577-4B7F-BFED-10EBE4049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2159" y="54709"/>
          <a:ext cx="2244426" cy="4689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78937</xdr:colOff>
      <xdr:row>0</xdr:row>
      <xdr:rowOff>75808</xdr:rowOff>
    </xdr:from>
    <xdr:to>
      <xdr:col>0</xdr:col>
      <xdr:colOff>681661</xdr:colOff>
      <xdr:row>3</xdr:row>
      <xdr:rowOff>75808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9E1F9-687E-42BB-9444-96BCB89F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7" y="75808"/>
          <a:ext cx="602724" cy="506437"/>
        </a:xfrm>
        <a:prstGeom prst="rect">
          <a:avLst/>
        </a:prstGeom>
      </xdr:spPr>
    </xdr:pic>
    <xdr:clientData/>
  </xdr:twoCellAnchor>
  <xdr:twoCellAnchor editAs="oneCell">
    <xdr:from>
      <xdr:col>6</xdr:col>
      <xdr:colOff>803420</xdr:colOff>
      <xdr:row>0</xdr:row>
      <xdr:rowOff>85970</xdr:rowOff>
    </xdr:from>
    <xdr:to>
      <xdr:col>9</xdr:col>
      <xdr:colOff>562554</xdr:colOff>
      <xdr:row>3</xdr:row>
      <xdr:rowOff>39076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A3084-6A05-42E4-A286-CD09D942D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2681" y="85970"/>
          <a:ext cx="2244426" cy="46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ivikova-excel" TargetMode="External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pivikova_excel" TargetMode="External"/><Relationship Id="rId2" Type="http://schemas.openxmlformats.org/officeDocument/2006/relationships/hyperlink" Target="https://www.youtube.com/@pivikova-excel" TargetMode="External"/><Relationship Id="rId1" Type="http://schemas.openxmlformats.org/officeDocument/2006/relationships/hyperlink" Target="https://t.me/+oIzc6ApzoNBmNjRi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first.excel-club.ru/?utm_source=fileintensiv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pivikova_excel" TargetMode="External"/><Relationship Id="rId2" Type="http://schemas.openxmlformats.org/officeDocument/2006/relationships/hyperlink" Target="https://www.youtube.com/@pivikova-excel" TargetMode="External"/><Relationship Id="rId1" Type="http://schemas.openxmlformats.org/officeDocument/2006/relationships/hyperlink" Target="https://t.me/+oIzc6ApzoNBmNjRi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first.excel-club.ru/?utm_source=fileintensi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pivikova_excel" TargetMode="External"/><Relationship Id="rId2" Type="http://schemas.openxmlformats.org/officeDocument/2006/relationships/hyperlink" Target="https://www.youtube.com/@pivikova-excel" TargetMode="External"/><Relationship Id="rId1" Type="http://schemas.openxmlformats.org/officeDocument/2006/relationships/hyperlink" Target="https://t.me/+oIzc6ApzoNBmNjRi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first.excel-club.ru/?utm_source=fileintensiv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vk.com/pivikova_excel" TargetMode="External"/><Relationship Id="rId2" Type="http://schemas.openxmlformats.org/officeDocument/2006/relationships/hyperlink" Target="https://www.youtube.com/@pivikova-excel" TargetMode="External"/><Relationship Id="rId1" Type="http://schemas.openxmlformats.org/officeDocument/2006/relationships/hyperlink" Target="https://t.me/+oIzc6ApzoNBmNjRi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first.excel-club.ru/?utm_source=fileintens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zoomScale="90" zoomScaleNormal="90" workbookViewId="0">
      <selection activeCell="G8" sqref="G8"/>
    </sheetView>
  </sheetViews>
  <sheetFormatPr defaultRowHeight="14.4" x14ac:dyDescent="0.3"/>
  <cols>
    <col min="1" max="1" width="9.5" style="2" customWidth="1"/>
    <col min="2" max="2" width="37.09765625" style="2" customWidth="1"/>
    <col min="3" max="3" width="14.5" style="6" customWidth="1"/>
    <col min="4" max="4" width="37.8984375" style="2" customWidth="1"/>
    <col min="5" max="5" width="35.5" style="2" customWidth="1"/>
    <col min="6" max="6" width="16.69921875" style="2" customWidth="1"/>
    <col min="7" max="7" width="24.296875" style="2" customWidth="1"/>
    <col min="8" max="8" width="21.296875" style="2" customWidth="1"/>
    <col min="9" max="9" width="20.3984375" style="2" customWidth="1"/>
    <col min="10" max="10" width="17.296875" style="2" customWidth="1"/>
    <col min="11" max="11" width="17.59765625" style="2" customWidth="1"/>
    <col min="12" max="12" width="8.796875" style="2" customWidth="1"/>
    <col min="13" max="16384" width="8.796875" style="2"/>
  </cols>
  <sheetData>
    <row r="1" spans="1:8" s="5" customFormat="1" ht="13.3" customHeight="1" x14ac:dyDescent="0.3">
      <c r="B1" s="45" t="s">
        <v>160</v>
      </c>
      <c r="C1" s="3" t="s">
        <v>0</v>
      </c>
      <c r="D1" s="47" t="s">
        <v>1</v>
      </c>
      <c r="E1" s="47"/>
      <c r="H1" s="4"/>
    </row>
    <row r="2" spans="1:8" s="5" customFormat="1" ht="13.3" customHeight="1" x14ac:dyDescent="0.3">
      <c r="B2" s="45"/>
      <c r="C2" s="3" t="s">
        <v>2</v>
      </c>
      <c r="D2" s="47" t="s">
        <v>3</v>
      </c>
      <c r="E2" s="47"/>
      <c r="H2" s="4"/>
    </row>
    <row r="3" spans="1:8" s="5" customFormat="1" ht="13.3" customHeight="1" x14ac:dyDescent="0.3">
      <c r="B3" s="46" t="s">
        <v>161</v>
      </c>
      <c r="C3" s="3" t="s">
        <v>4</v>
      </c>
      <c r="D3" s="47" t="s">
        <v>5</v>
      </c>
      <c r="E3" s="47"/>
      <c r="H3" s="4"/>
    </row>
    <row r="4" spans="1:8" s="5" customFormat="1" ht="13.3" customHeight="1" x14ac:dyDescent="0.3">
      <c r="B4" s="46"/>
      <c r="C4" s="3" t="s">
        <v>6</v>
      </c>
      <c r="D4" s="47" t="s">
        <v>7</v>
      </c>
      <c r="E4" s="47"/>
      <c r="H4" s="4"/>
    </row>
    <row r="6" spans="1:8" s="13" customFormat="1" ht="22.15" customHeight="1" x14ac:dyDescent="0.3">
      <c r="A6" s="12" t="s">
        <v>51</v>
      </c>
      <c r="C6" s="14"/>
    </row>
    <row r="7" spans="1:8" ht="15.65" customHeight="1" x14ac:dyDescent="0.3">
      <c r="A7" s="7"/>
      <c r="C7" s="8"/>
    </row>
    <row r="8" spans="1:8" ht="18.850000000000001" customHeight="1" x14ac:dyDescent="0.3">
      <c r="B8" s="10" t="s">
        <v>109</v>
      </c>
      <c r="C8" s="2"/>
      <c r="D8" s="10" t="s">
        <v>110</v>
      </c>
      <c r="E8" s="23" t="s">
        <v>128</v>
      </c>
    </row>
    <row r="9" spans="1:8" x14ac:dyDescent="0.3">
      <c r="B9" s="11" t="s">
        <v>52</v>
      </c>
      <c r="C9" s="11"/>
      <c r="D9" s="11" t="s">
        <v>53</v>
      </c>
      <c r="E9" s="20" t="str">
        <f>VLOOKUP(D9,B:B,1,0)</f>
        <v>Договор № НФ-34145 от 10.05.2021</v>
      </c>
    </row>
    <row r="10" spans="1:8" x14ac:dyDescent="0.3">
      <c r="B10" s="11" t="s">
        <v>54</v>
      </c>
      <c r="C10" s="11"/>
      <c r="D10" s="11" t="s">
        <v>55</v>
      </c>
      <c r="E10" s="20" t="str">
        <f t="shared" ref="E10:E65" si="0">VLOOKUP(D10,B:B,1,0)</f>
        <v>Договор № НФ-49108 от 10.05.2021</v>
      </c>
    </row>
    <row r="11" spans="1:8" x14ac:dyDescent="0.3">
      <c r="B11" s="11" t="s">
        <v>56</v>
      </c>
      <c r="C11" s="11"/>
      <c r="D11" s="11" t="s">
        <v>57</v>
      </c>
      <c r="E11" s="20" t="str">
        <f t="shared" si="0"/>
        <v>Договор № НФ-29412 от 10.05.2021</v>
      </c>
    </row>
    <row r="12" spans="1:8" x14ac:dyDescent="0.3">
      <c r="B12" s="11" t="s">
        <v>58</v>
      </c>
      <c r="C12" s="11"/>
      <c r="D12" s="11" t="s">
        <v>59</v>
      </c>
      <c r="E12" s="20" t="str">
        <f t="shared" si="0"/>
        <v>Договор № НФ-41584 от 10.05.2021</v>
      </c>
    </row>
    <row r="13" spans="1:8" x14ac:dyDescent="0.3">
      <c r="B13" s="11" t="s">
        <v>60</v>
      </c>
      <c r="C13" s="11"/>
      <c r="D13" s="11" t="s">
        <v>61</v>
      </c>
      <c r="E13" s="20" t="str">
        <f t="shared" si="0"/>
        <v>Договор № НФ-49543 от 10.05.2021</v>
      </c>
    </row>
    <row r="14" spans="1:8" x14ac:dyDescent="0.3">
      <c r="B14" s="11" t="s">
        <v>62</v>
      </c>
      <c r="C14" s="11"/>
      <c r="D14" s="11" t="s">
        <v>63</v>
      </c>
      <c r="E14" s="20" t="str">
        <f t="shared" si="0"/>
        <v>Договор № НФ-33709 от 10.05.2021</v>
      </c>
    </row>
    <row r="15" spans="1:8" x14ac:dyDescent="0.3">
      <c r="B15" s="11" t="s">
        <v>64</v>
      </c>
      <c r="C15" s="11"/>
      <c r="D15" s="11" t="s">
        <v>65</v>
      </c>
      <c r="E15" s="20" t="str">
        <f t="shared" si="0"/>
        <v>Договор № НФ-43884 от 10.05.2021</v>
      </c>
    </row>
    <row r="16" spans="1:8" x14ac:dyDescent="0.3">
      <c r="B16" s="11" t="s">
        <v>66</v>
      </c>
      <c r="C16" s="11"/>
      <c r="D16" s="11" t="s">
        <v>67</v>
      </c>
      <c r="E16" s="20" t="str">
        <f t="shared" si="0"/>
        <v>Договор № НФ-36508 от 10.05.2021</v>
      </c>
    </row>
    <row r="17" spans="2:5" x14ac:dyDescent="0.3">
      <c r="B17" s="11" t="s">
        <v>68</v>
      </c>
      <c r="C17" s="11"/>
      <c r="D17" s="11" t="s">
        <v>62</v>
      </c>
      <c r="E17" s="20" t="str">
        <f t="shared" si="0"/>
        <v>Договор № НФ-50635 от 10.05.2021</v>
      </c>
    </row>
    <row r="18" spans="2:5" x14ac:dyDescent="0.3">
      <c r="B18" s="11" t="s">
        <v>69</v>
      </c>
      <c r="C18" s="11"/>
      <c r="D18" s="11" t="s">
        <v>70</v>
      </c>
      <c r="E18" s="20" t="str">
        <f t="shared" si="0"/>
        <v>Договор № НФ-52011 от 10.05.2021</v>
      </c>
    </row>
    <row r="19" spans="2:5" x14ac:dyDescent="0.3">
      <c r="B19" s="11" t="s">
        <v>59</v>
      </c>
      <c r="C19" s="11"/>
      <c r="D19" s="11" t="s">
        <v>64</v>
      </c>
      <c r="E19" s="20" t="str">
        <f t="shared" si="0"/>
        <v>Договор № НФ-21243 от 10.05.2021</v>
      </c>
    </row>
    <row r="20" spans="2:5" x14ac:dyDescent="0.3">
      <c r="B20" s="11" t="s">
        <v>71</v>
      </c>
      <c r="C20" s="11"/>
      <c r="D20" s="11" t="s">
        <v>72</v>
      </c>
      <c r="E20" s="20" t="str">
        <f t="shared" si="0"/>
        <v>Договор № НФ-20187 от 10.05.2021</v>
      </c>
    </row>
    <row r="21" spans="2:5" x14ac:dyDescent="0.3">
      <c r="B21" s="11" t="s">
        <v>73</v>
      </c>
      <c r="C21" s="11"/>
      <c r="D21" s="11" t="s">
        <v>71</v>
      </c>
      <c r="E21" s="20" t="str">
        <f t="shared" si="0"/>
        <v>Договор № НФ-22138 от 10.05.2021</v>
      </c>
    </row>
    <row r="22" spans="2:5" x14ac:dyDescent="0.3">
      <c r="B22" s="11" t="s">
        <v>63</v>
      </c>
      <c r="C22" s="11"/>
      <c r="D22" s="11" t="s">
        <v>74</v>
      </c>
      <c r="E22" s="20" t="str">
        <f t="shared" si="0"/>
        <v>Договор № НФ-40021 от 10.05.2021</v>
      </c>
    </row>
    <row r="23" spans="2:5" x14ac:dyDescent="0.3">
      <c r="B23" s="11" t="s">
        <v>75</v>
      </c>
      <c r="C23" s="11"/>
      <c r="D23" s="11" t="s">
        <v>52</v>
      </c>
      <c r="E23" s="20" t="str">
        <f t="shared" si="0"/>
        <v>Договор № НФ-28486 от 10.05.2021</v>
      </c>
    </row>
    <row r="24" spans="2:5" x14ac:dyDescent="0.3">
      <c r="B24" s="11" t="s">
        <v>76</v>
      </c>
      <c r="C24" s="11"/>
      <c r="D24" s="11" t="s">
        <v>54</v>
      </c>
      <c r="E24" s="20" t="str">
        <f t="shared" si="0"/>
        <v>Договор № НФ-22926 от 10.05.2021</v>
      </c>
    </row>
    <row r="25" spans="2:5" x14ac:dyDescent="0.3">
      <c r="B25" s="11" t="s">
        <v>72</v>
      </c>
      <c r="C25" s="11"/>
      <c r="D25" s="11" t="s">
        <v>77</v>
      </c>
      <c r="E25" s="20" t="str">
        <f t="shared" si="0"/>
        <v>Договор № НФ-37010 от 10.05.2021</v>
      </c>
    </row>
    <row r="26" spans="2:5" x14ac:dyDescent="0.3">
      <c r="B26" s="11" t="s">
        <v>78</v>
      </c>
      <c r="C26" s="11"/>
      <c r="D26" s="11" t="s">
        <v>79</v>
      </c>
      <c r="E26" s="20" t="str">
        <f t="shared" si="0"/>
        <v>Договор № НФ-32780 от 10.05.2021</v>
      </c>
    </row>
    <row r="27" spans="2:5" x14ac:dyDescent="0.3">
      <c r="B27" s="11" t="s">
        <v>80</v>
      </c>
      <c r="C27" s="11"/>
      <c r="D27" s="11" t="s">
        <v>81</v>
      </c>
      <c r="E27" s="20" t="str">
        <f t="shared" si="0"/>
        <v>Договор № НФ-18542 от 10.05.2021</v>
      </c>
    </row>
    <row r="28" spans="2:5" x14ac:dyDescent="0.3">
      <c r="B28" s="11" t="s">
        <v>82</v>
      </c>
      <c r="C28" s="11"/>
      <c r="D28" s="11" t="s">
        <v>73</v>
      </c>
      <c r="E28" s="20" t="str">
        <f t="shared" si="0"/>
        <v>Договор № НФ-40058 от 10.05.2021</v>
      </c>
    </row>
    <row r="29" spans="2:5" x14ac:dyDescent="0.3">
      <c r="B29" s="11" t="s">
        <v>83</v>
      </c>
      <c r="C29" s="11"/>
      <c r="D29" s="11" t="s">
        <v>84</v>
      </c>
      <c r="E29" s="20" t="str">
        <f t="shared" si="0"/>
        <v>Договор № НФ-52588 от 10.05.2021</v>
      </c>
    </row>
    <row r="30" spans="2:5" x14ac:dyDescent="0.3">
      <c r="B30" s="11" t="s">
        <v>85</v>
      </c>
      <c r="C30" s="11"/>
      <c r="D30" s="11" t="s">
        <v>76</v>
      </c>
      <c r="E30" s="20" t="str">
        <f t="shared" si="0"/>
        <v>Договор № НФ-35014 от 10.05.2021</v>
      </c>
    </row>
    <row r="31" spans="2:5" x14ac:dyDescent="0.3">
      <c r="B31" s="11" t="s">
        <v>55</v>
      </c>
      <c r="C31" s="11"/>
      <c r="D31" s="11" t="s">
        <v>86</v>
      </c>
      <c r="E31" s="20" t="str">
        <f t="shared" si="0"/>
        <v>Договор № НФ-48464 от 10.05.2021</v>
      </c>
    </row>
    <row r="32" spans="2:5" x14ac:dyDescent="0.3">
      <c r="B32" s="11" t="s">
        <v>87</v>
      </c>
      <c r="C32" s="11"/>
      <c r="D32" s="11" t="s">
        <v>88</v>
      </c>
      <c r="E32" s="20" t="str">
        <f t="shared" si="0"/>
        <v>Договор № НФ-26197 от 10.05.2021</v>
      </c>
    </row>
    <row r="33" spans="2:5" x14ac:dyDescent="0.3">
      <c r="B33" s="11" t="s">
        <v>61</v>
      </c>
      <c r="C33" s="11"/>
      <c r="D33" s="11" t="s">
        <v>82</v>
      </c>
      <c r="E33" s="20" t="str">
        <f t="shared" si="0"/>
        <v>Договор № НФ-26508 от 10.05.2021</v>
      </c>
    </row>
    <row r="34" spans="2:5" x14ac:dyDescent="0.3">
      <c r="B34" s="11" t="s">
        <v>84</v>
      </c>
      <c r="C34" s="11"/>
      <c r="D34" s="11" t="s">
        <v>89</v>
      </c>
      <c r="E34" s="20" t="str">
        <f t="shared" si="0"/>
        <v>Договор № НФ-28605 от 10.05.2021</v>
      </c>
    </row>
    <row r="35" spans="2:5" x14ac:dyDescent="0.3">
      <c r="B35" s="11" t="s">
        <v>90</v>
      </c>
      <c r="C35" s="11"/>
      <c r="D35" s="11" t="s">
        <v>69</v>
      </c>
      <c r="E35" s="20" t="str">
        <f t="shared" si="0"/>
        <v>Договор № НФ-43377 от 10.05.2021</v>
      </c>
    </row>
    <row r="36" spans="2:5" x14ac:dyDescent="0.3">
      <c r="B36" s="11" t="s">
        <v>91</v>
      </c>
      <c r="C36" s="11"/>
      <c r="D36" s="11" t="s">
        <v>83</v>
      </c>
      <c r="E36" s="20" t="str">
        <f t="shared" si="0"/>
        <v>Договор № НФ-43455 от 10.05.2021</v>
      </c>
    </row>
    <row r="37" spans="2:5" x14ac:dyDescent="0.3">
      <c r="B37" s="11" t="s">
        <v>92</v>
      </c>
      <c r="C37" s="11"/>
      <c r="D37" s="11" t="s">
        <v>75</v>
      </c>
      <c r="E37" s="20" t="str">
        <f t="shared" si="0"/>
        <v>Договор № НФ-40195 от 10.05.2021</v>
      </c>
    </row>
    <row r="38" spans="2:5" x14ac:dyDescent="0.3">
      <c r="B38" s="11" t="s">
        <v>86</v>
      </c>
      <c r="C38" s="11"/>
      <c r="D38" s="11" t="s">
        <v>93</v>
      </c>
      <c r="E38" s="20" t="e">
        <f t="shared" si="0"/>
        <v>#N/A</v>
      </c>
    </row>
    <row r="39" spans="2:5" x14ac:dyDescent="0.3">
      <c r="B39" s="11" t="s">
        <v>94</v>
      </c>
      <c r="C39" s="11"/>
      <c r="D39" s="11" t="s">
        <v>95</v>
      </c>
      <c r="E39" s="20" t="str">
        <f t="shared" si="0"/>
        <v>Договор № НФ-30261 от 10.05.2021</v>
      </c>
    </row>
    <row r="40" spans="2:5" x14ac:dyDescent="0.3">
      <c r="B40" s="11" t="s">
        <v>96</v>
      </c>
      <c r="C40" s="11"/>
      <c r="D40" s="11" t="s">
        <v>97</v>
      </c>
      <c r="E40" s="20" t="str">
        <f t="shared" si="0"/>
        <v>Договор № НФ-34920 от 10.05.2021</v>
      </c>
    </row>
    <row r="41" spans="2:5" x14ac:dyDescent="0.3">
      <c r="B41" s="11" t="s">
        <v>98</v>
      </c>
      <c r="C41" s="11"/>
      <c r="D41" s="11" t="s">
        <v>91</v>
      </c>
      <c r="E41" s="20" t="str">
        <f t="shared" si="0"/>
        <v>Договор № НФ-24089 от 10.05.2021</v>
      </c>
    </row>
    <row r="42" spans="2:5" x14ac:dyDescent="0.3">
      <c r="B42" s="11" t="s">
        <v>99</v>
      </c>
      <c r="C42" s="11"/>
      <c r="D42" s="11" t="s">
        <v>56</v>
      </c>
      <c r="E42" s="20" t="str">
        <f t="shared" si="0"/>
        <v>Договор № НФ-23519 от 10.05.2021</v>
      </c>
    </row>
    <row r="43" spans="2:5" x14ac:dyDescent="0.3">
      <c r="B43" s="11" t="s">
        <v>57</v>
      </c>
      <c r="C43" s="11"/>
      <c r="D43" s="11" t="s">
        <v>98</v>
      </c>
      <c r="E43" s="20" t="str">
        <f t="shared" si="0"/>
        <v>Договор № НФ-42490 от 10.05.2021</v>
      </c>
    </row>
    <row r="44" spans="2:5" x14ac:dyDescent="0.3">
      <c r="B44" s="11" t="s">
        <v>65</v>
      </c>
      <c r="C44" s="11"/>
      <c r="D44" s="11" t="s">
        <v>100</v>
      </c>
      <c r="E44" s="20" t="str">
        <f t="shared" si="0"/>
        <v>Договор № НФ-27650 от 10.05.2021</v>
      </c>
    </row>
    <row r="45" spans="2:5" x14ac:dyDescent="0.3">
      <c r="B45" s="11" t="s">
        <v>101</v>
      </c>
      <c r="C45" s="11"/>
      <c r="D45" s="11" t="s">
        <v>60</v>
      </c>
      <c r="E45" s="20" t="str">
        <f t="shared" si="0"/>
        <v>Договор № НФ-30818 от 10.05.2021</v>
      </c>
    </row>
    <row r="46" spans="2:5" x14ac:dyDescent="0.3">
      <c r="B46" s="11" t="s">
        <v>102</v>
      </c>
      <c r="C46" s="11"/>
      <c r="D46" s="11" t="s">
        <v>96</v>
      </c>
      <c r="E46" s="20" t="str">
        <f t="shared" si="0"/>
        <v>Договор № НФ-21511 от 10.05.2021</v>
      </c>
    </row>
    <row r="47" spans="2:5" x14ac:dyDescent="0.3">
      <c r="B47" s="11" t="s">
        <v>70</v>
      </c>
      <c r="C47" s="11"/>
      <c r="D47" s="11" t="s">
        <v>58</v>
      </c>
      <c r="E47" s="20" t="str">
        <f t="shared" si="0"/>
        <v>Договор № НФ-18777 от 10.05.2021</v>
      </c>
    </row>
    <row r="48" spans="2:5" x14ac:dyDescent="0.3">
      <c r="B48" s="11" t="s">
        <v>103</v>
      </c>
      <c r="C48" s="11"/>
      <c r="D48" s="11" t="s">
        <v>104</v>
      </c>
      <c r="E48" s="20" t="str">
        <f t="shared" si="0"/>
        <v>Договор № НФ-20236 от 10.05.2021</v>
      </c>
    </row>
    <row r="49" spans="2:5" x14ac:dyDescent="0.3">
      <c r="B49" s="11" t="s">
        <v>88</v>
      </c>
      <c r="C49" s="11"/>
      <c r="D49" s="11" t="s">
        <v>94</v>
      </c>
      <c r="E49" s="20" t="str">
        <f t="shared" si="0"/>
        <v>Договор № НФ-29226 от 10.05.2021</v>
      </c>
    </row>
    <row r="50" spans="2:5" x14ac:dyDescent="0.3">
      <c r="B50" s="11" t="s">
        <v>104</v>
      </c>
      <c r="C50" s="11"/>
      <c r="D50" s="11" t="s">
        <v>105</v>
      </c>
      <c r="E50" s="20" t="str">
        <f t="shared" si="0"/>
        <v>Договор № НФ-37498 от 10.05.2021</v>
      </c>
    </row>
    <row r="51" spans="2:5" x14ac:dyDescent="0.3">
      <c r="B51" s="11" t="s">
        <v>106</v>
      </c>
      <c r="C51" s="11"/>
      <c r="D51" s="11" t="s">
        <v>87</v>
      </c>
      <c r="E51" s="20" t="str">
        <f t="shared" si="0"/>
        <v>Договор № НФ-37697 от 10.05.2021</v>
      </c>
    </row>
    <row r="52" spans="2:5" x14ac:dyDescent="0.3">
      <c r="B52" s="11" t="s">
        <v>95</v>
      </c>
      <c r="C52" s="11"/>
      <c r="D52" s="11" t="s">
        <v>107</v>
      </c>
      <c r="E52" s="20" t="str">
        <f t="shared" si="0"/>
        <v>Договор № НФ-42217 от 10.05.2021</v>
      </c>
    </row>
    <row r="53" spans="2:5" x14ac:dyDescent="0.3">
      <c r="B53" s="11" t="s">
        <v>107</v>
      </c>
      <c r="C53" s="11"/>
      <c r="D53" s="11" t="s">
        <v>108</v>
      </c>
      <c r="E53" s="20" t="e">
        <f t="shared" si="0"/>
        <v>#N/A</v>
      </c>
    </row>
    <row r="54" spans="2:5" x14ac:dyDescent="0.3">
      <c r="B54" s="11" t="s">
        <v>100</v>
      </c>
      <c r="C54" s="11"/>
      <c r="D54" s="11" t="s">
        <v>68</v>
      </c>
      <c r="E54" s="20" t="str">
        <f t="shared" si="0"/>
        <v>Договор № НФ-35158 от 10.05.2021</v>
      </c>
    </row>
    <row r="55" spans="2:5" x14ac:dyDescent="0.3">
      <c r="B55" s="11" t="s">
        <v>97</v>
      </c>
      <c r="C55" s="11"/>
      <c r="D55" s="11" t="s">
        <v>99</v>
      </c>
      <c r="E55" s="20" t="str">
        <f t="shared" si="0"/>
        <v>Договор № НФ-31742 от 10.05.2021</v>
      </c>
    </row>
    <row r="56" spans="2:5" x14ac:dyDescent="0.3">
      <c r="B56" s="11" t="s">
        <v>81</v>
      </c>
      <c r="C56" s="11"/>
      <c r="D56" s="11" t="s">
        <v>78</v>
      </c>
      <c r="E56" s="20" t="str">
        <f t="shared" si="0"/>
        <v>Договор № НФ-23964 от 10.05.2021</v>
      </c>
    </row>
    <row r="57" spans="2:5" x14ac:dyDescent="0.3">
      <c r="B57" s="11" t="s">
        <v>53</v>
      </c>
      <c r="C57" s="11"/>
      <c r="D57" s="11" t="s">
        <v>103</v>
      </c>
      <c r="E57" s="20" t="str">
        <f t="shared" si="0"/>
        <v>Договор № НФ-21728 от 10.05.2021</v>
      </c>
    </row>
    <row r="58" spans="2:5" x14ac:dyDescent="0.3">
      <c r="B58" s="11" t="s">
        <v>79</v>
      </c>
      <c r="C58" s="11"/>
      <c r="D58" s="11" t="s">
        <v>90</v>
      </c>
      <c r="E58" s="20" t="str">
        <f t="shared" si="0"/>
        <v>Договор № НФ-34823 от 10.05.2021</v>
      </c>
    </row>
    <row r="59" spans="2:5" x14ac:dyDescent="0.3">
      <c r="B59" s="11" t="s">
        <v>89</v>
      </c>
      <c r="C59" s="11"/>
      <c r="D59" s="11" t="s">
        <v>101</v>
      </c>
      <c r="E59" s="20" t="str">
        <f t="shared" si="0"/>
        <v>Договор № НФ-22374 от 10.05.2021</v>
      </c>
    </row>
    <row r="60" spans="2:5" x14ac:dyDescent="0.3">
      <c r="B60" s="11" t="s">
        <v>67</v>
      </c>
      <c r="C60" s="11"/>
      <c r="D60" s="11" t="s">
        <v>66</v>
      </c>
      <c r="E60" s="20" t="str">
        <f t="shared" si="0"/>
        <v>Договор № НФ-40614 от 10.05.2021</v>
      </c>
    </row>
    <row r="61" spans="2:5" x14ac:dyDescent="0.3">
      <c r="B61" s="11" t="s">
        <v>77</v>
      </c>
      <c r="C61" s="11"/>
      <c r="D61" s="11" t="s">
        <v>106</v>
      </c>
      <c r="E61" s="20" t="str">
        <f t="shared" si="0"/>
        <v>Договор № НФ-21062 от 10.05.2021</v>
      </c>
    </row>
    <row r="62" spans="2:5" x14ac:dyDescent="0.3">
      <c r="B62" s="11" t="s">
        <v>105</v>
      </c>
      <c r="C62" s="11"/>
      <c r="D62" s="11" t="s">
        <v>102</v>
      </c>
      <c r="E62" s="20" t="str">
        <f t="shared" si="0"/>
        <v>Договор № НФ-26336 от 10.05.2021</v>
      </c>
    </row>
    <row r="63" spans="2:5" x14ac:dyDescent="0.3">
      <c r="B63" s="11" t="s">
        <v>74</v>
      </c>
      <c r="C63" s="11"/>
      <c r="D63" s="11" t="s">
        <v>92</v>
      </c>
      <c r="E63" s="20" t="str">
        <f t="shared" si="0"/>
        <v>Договор № НФ-45729 от 10.05.2021</v>
      </c>
    </row>
    <row r="64" spans="2:5" x14ac:dyDescent="0.3">
      <c r="B64" s="11"/>
      <c r="C64" s="11"/>
      <c r="D64" s="11" t="s">
        <v>85</v>
      </c>
      <c r="E64" s="20" t="str">
        <f t="shared" si="0"/>
        <v>Договор № НФ-36049 от 10.05.2021</v>
      </c>
    </row>
    <row r="65" spans="2:5" x14ac:dyDescent="0.3">
      <c r="B65" s="11"/>
      <c r="C65" s="11"/>
      <c r="D65" s="11" t="s">
        <v>80</v>
      </c>
      <c r="E65" s="20" t="str">
        <f t="shared" si="0"/>
        <v>Договор № НФ-40224 от 10.05.2021</v>
      </c>
    </row>
  </sheetData>
  <mergeCells count="6">
    <mergeCell ref="B1:B2"/>
    <mergeCell ref="B3:B4"/>
    <mergeCell ref="D1:E1"/>
    <mergeCell ref="D2:E2"/>
    <mergeCell ref="D3:E3"/>
    <mergeCell ref="D4:E4"/>
  </mergeCells>
  <hyperlinks>
    <hyperlink ref="D1" r:id="rId1" xr:uid="{B7E9E479-CD34-4F6C-B29D-8351FABBBCEC}"/>
    <hyperlink ref="D2" r:id="rId2" xr:uid="{F5DFFBA5-2B5E-4C09-AEC2-159DF6DB8EAC}"/>
    <hyperlink ref="D3" r:id="rId3" xr:uid="{6810A66C-6BD8-469A-8660-545863110F63}"/>
    <hyperlink ref="D4" r:id="rId4" xr:uid="{1590E20E-00A0-4F88-B7A2-D7E5EAA6B8F0}"/>
    <hyperlink ref="D1:E1" r:id="rId5" display="https://first.excel-club.ru" xr:uid="{18AA37BB-27FB-4B46-8ABA-50AC60D5D553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F23-734F-44C3-BC5D-785BF5A16A5E}">
  <dimension ref="A1:J23"/>
  <sheetViews>
    <sheetView zoomScale="90" zoomScaleNormal="90" workbookViewId="0">
      <pane ySplit="7" topLeftCell="A8" activePane="bottomLeft" state="frozen"/>
      <selection pane="bottomLeft" activeCell="F10" sqref="F10"/>
    </sheetView>
  </sheetViews>
  <sheetFormatPr defaultRowHeight="14.4" x14ac:dyDescent="0.3"/>
  <cols>
    <col min="1" max="1" width="9.5" style="2" customWidth="1"/>
    <col min="2" max="2" width="42.59765625" style="2" customWidth="1"/>
    <col min="3" max="3" width="23.796875" style="6" customWidth="1"/>
    <col min="4" max="4" width="26.69921875" style="2" customWidth="1"/>
    <col min="5" max="5" width="17.3984375" style="2" customWidth="1"/>
    <col min="6" max="6" width="22.69921875" style="2" customWidth="1"/>
    <col min="7" max="7" width="14.09765625" style="2" customWidth="1"/>
    <col min="8" max="8" width="21.296875" style="2" customWidth="1"/>
    <col min="9" max="9" width="28.09765625" style="2" customWidth="1"/>
    <col min="10" max="10" width="17.296875" style="2" customWidth="1"/>
    <col min="11" max="11" width="17.59765625" style="2" customWidth="1"/>
    <col min="12" max="12" width="8.796875" style="2" customWidth="1"/>
    <col min="13" max="16384" width="8.796875" style="2"/>
  </cols>
  <sheetData>
    <row r="1" spans="1:10" s="5" customFormat="1" ht="13.3" customHeight="1" x14ac:dyDescent="0.3">
      <c r="A1" s="48"/>
      <c r="B1" s="45" t="s">
        <v>160</v>
      </c>
      <c r="C1" s="9" t="s">
        <v>0</v>
      </c>
      <c r="D1" s="47" t="s">
        <v>1</v>
      </c>
      <c r="E1" s="47"/>
      <c r="H1" s="4"/>
      <c r="I1" s="4"/>
    </row>
    <row r="2" spans="1:10" s="5" customFormat="1" ht="13.3" customHeight="1" x14ac:dyDescent="0.3">
      <c r="A2" s="48"/>
      <c r="B2" s="45"/>
      <c r="C2" s="9" t="s">
        <v>2</v>
      </c>
      <c r="D2" s="47" t="s">
        <v>3</v>
      </c>
      <c r="E2" s="47"/>
      <c r="H2" s="4"/>
      <c r="I2" s="4"/>
    </row>
    <row r="3" spans="1:10" s="5" customFormat="1" ht="13.3" customHeight="1" x14ac:dyDescent="0.3">
      <c r="A3" s="49"/>
      <c r="B3" s="46" t="s">
        <v>161</v>
      </c>
      <c r="C3" s="9" t="s">
        <v>4</v>
      </c>
      <c r="D3" s="47" t="s">
        <v>5</v>
      </c>
      <c r="E3" s="47"/>
      <c r="H3" s="4"/>
      <c r="I3" s="4"/>
    </row>
    <row r="4" spans="1:10" s="5" customFormat="1" ht="13.3" customHeight="1" x14ac:dyDescent="0.3">
      <c r="A4" s="49"/>
      <c r="B4" s="46"/>
      <c r="C4" s="9" t="s">
        <v>6</v>
      </c>
      <c r="D4" s="47" t="s">
        <v>7</v>
      </c>
      <c r="E4" s="47"/>
      <c r="H4" s="4"/>
      <c r="I4" s="4"/>
    </row>
    <row r="6" spans="1:10" s="13" customFormat="1" ht="22.15" customHeight="1" x14ac:dyDescent="0.3">
      <c r="A6" s="12" t="s">
        <v>111</v>
      </c>
      <c r="C6" s="14"/>
    </row>
    <row r="7" spans="1:10" ht="15.65" customHeight="1" x14ac:dyDescent="0.3">
      <c r="A7" s="7"/>
      <c r="C7" s="8"/>
    </row>
    <row r="8" spans="1:10" s="7" customFormat="1" ht="26.6" customHeight="1" x14ac:dyDescent="0.3">
      <c r="A8" s="10" t="s">
        <v>112</v>
      </c>
      <c r="B8" s="10" t="s">
        <v>113</v>
      </c>
      <c r="C8" s="10" t="s">
        <v>123</v>
      </c>
      <c r="D8" s="24"/>
      <c r="E8" s="10" t="s">
        <v>114</v>
      </c>
      <c r="F8" s="23" t="s">
        <v>123</v>
      </c>
    </row>
    <row r="9" spans="1:10" ht="23.3" customHeight="1" x14ac:dyDescent="0.3">
      <c r="A9" s="2">
        <v>101</v>
      </c>
      <c r="B9" s="2" t="s">
        <v>119</v>
      </c>
      <c r="C9" s="2" t="s">
        <v>116</v>
      </c>
      <c r="D9" s="6"/>
      <c r="E9" s="2">
        <v>87654321</v>
      </c>
      <c r="F9" s="20" t="str">
        <f>VLOOKUP("*"&amp;E9&amp;"*",$B$9:$C$12,2,0)</f>
        <v>АО "ТЕХНОИМПОРТ"</v>
      </c>
      <c r="G9" s="2" t="s">
        <v>162</v>
      </c>
      <c r="H9" s="20" t="str">
        <f>VLOOKUP(G9,$B$9:$C$12,2,0)</f>
        <v>АО "ТЕХНОИМПОРТ"</v>
      </c>
      <c r="I9" s="56" t="str">
        <f>CONCATENATE("*",E9,"*")</f>
        <v>*87654321*</v>
      </c>
      <c r="J9" s="56" t="str">
        <f>"*"&amp;E9&amp;"*"</f>
        <v>*87654321*</v>
      </c>
    </row>
    <row r="10" spans="1:10" ht="23.3" customHeight="1" x14ac:dyDescent="0.3">
      <c r="A10" s="2">
        <v>102</v>
      </c>
      <c r="B10" s="2" t="s">
        <v>120</v>
      </c>
      <c r="C10" s="2" t="s">
        <v>117</v>
      </c>
      <c r="D10" s="6"/>
      <c r="E10" s="2">
        <v>55667777</v>
      </c>
      <c r="F10" s="20" t="str">
        <f t="shared" ref="F10:F12" si="0">VLOOKUP("*"&amp;E10&amp;"*",$B$9:$C$12,2,0)</f>
        <v>ИП СИДОРОВ</v>
      </c>
    </row>
    <row r="11" spans="1:10" ht="23.3" customHeight="1" x14ac:dyDescent="0.3">
      <c r="A11" s="2">
        <v>103</v>
      </c>
      <c r="B11" s="2" t="s">
        <v>121</v>
      </c>
      <c r="C11" s="2" t="s">
        <v>115</v>
      </c>
      <c r="D11" s="6"/>
      <c r="E11" s="2">
        <v>11223344</v>
      </c>
      <c r="F11" s="20" t="str">
        <f t="shared" si="0"/>
        <v>ЗАО "ПРОДТОРГ"</v>
      </c>
    </row>
    <row r="12" spans="1:10" ht="23.3" customHeight="1" x14ac:dyDescent="0.3">
      <c r="A12" s="2">
        <v>104</v>
      </c>
      <c r="B12" s="2" t="s">
        <v>122</v>
      </c>
      <c r="C12" s="2" t="s">
        <v>118</v>
      </c>
      <c r="D12" s="6"/>
      <c r="E12" s="2">
        <v>12345678</v>
      </c>
      <c r="F12" s="20" t="str">
        <f t="shared" si="0"/>
        <v>ООО "СТРОЙГАРАНТ"</v>
      </c>
    </row>
    <row r="13" spans="1:10" ht="19" customHeight="1" x14ac:dyDescent="0.3">
      <c r="C13" s="2"/>
      <c r="D13" s="6"/>
    </row>
    <row r="14" spans="1:10" ht="19" customHeight="1" x14ac:dyDescent="0.3">
      <c r="C14" s="2"/>
      <c r="D14" s="6"/>
    </row>
    <row r="15" spans="1:10" ht="19" customHeight="1" x14ac:dyDescent="0.3">
      <c r="C15" s="2"/>
      <c r="D15" s="6"/>
    </row>
    <row r="16" spans="1:10" ht="19" customHeight="1" x14ac:dyDescent="0.3">
      <c r="C16" s="2"/>
      <c r="D16" s="6"/>
    </row>
    <row r="17" spans="3:4" x14ac:dyDescent="0.3">
      <c r="C17" s="2"/>
      <c r="D17" s="6"/>
    </row>
    <row r="18" spans="3:4" x14ac:dyDescent="0.3">
      <c r="C18" s="2"/>
      <c r="D18" s="6"/>
    </row>
    <row r="19" spans="3:4" x14ac:dyDescent="0.3">
      <c r="C19" s="2"/>
      <c r="D19" s="6"/>
    </row>
    <row r="20" spans="3:4" x14ac:dyDescent="0.3">
      <c r="C20" s="2"/>
      <c r="D20" s="6"/>
    </row>
    <row r="21" spans="3:4" x14ac:dyDescent="0.3">
      <c r="C21" s="2"/>
      <c r="D21" s="6"/>
    </row>
    <row r="22" spans="3:4" x14ac:dyDescent="0.3">
      <c r="C22" s="2"/>
      <c r="D22" s="6"/>
    </row>
    <row r="23" spans="3:4" x14ac:dyDescent="0.3">
      <c r="C23" s="2"/>
      <c r="D23" s="6"/>
    </row>
  </sheetData>
  <mergeCells count="8">
    <mergeCell ref="A1:A2"/>
    <mergeCell ref="D1:E1"/>
    <mergeCell ref="D2:E2"/>
    <mergeCell ref="A3:A4"/>
    <mergeCell ref="D3:E3"/>
    <mergeCell ref="D4:E4"/>
    <mergeCell ref="B1:B2"/>
    <mergeCell ref="B3:B4"/>
  </mergeCells>
  <hyperlinks>
    <hyperlink ref="D2" r:id="rId1" xr:uid="{5F750D1C-23E7-40D1-8983-6A574D4A4D66}"/>
    <hyperlink ref="D3" r:id="rId2" xr:uid="{1F7B9F6F-6383-475F-B787-A0AE3A23EC91}"/>
    <hyperlink ref="D4" r:id="rId3" xr:uid="{AD873FF9-0C98-4B01-9866-BD048A01E030}"/>
    <hyperlink ref="D1" r:id="rId4" xr:uid="{DE7B75DF-ECD3-41C9-9C3E-913D150A7423}"/>
    <hyperlink ref="D1:E1" r:id="rId5" display="https://first.excel-club.ru" xr:uid="{74285FCB-C714-4D2F-8918-9434C23F6F28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7AEA-1EE7-459C-8F23-A5776272572E}">
  <dimension ref="A1:I30"/>
  <sheetViews>
    <sheetView zoomScale="90" zoomScaleNormal="90" workbookViewId="0">
      <pane ySplit="10" topLeftCell="A11" activePane="bottomLeft" state="frozen"/>
      <selection pane="bottomLeft" activeCell="B8" sqref="B8"/>
    </sheetView>
  </sheetViews>
  <sheetFormatPr defaultRowHeight="14.4" x14ac:dyDescent="0.3"/>
  <cols>
    <col min="1" max="1" width="46.296875" style="2" customWidth="1"/>
    <col min="2" max="2" width="43.3984375" style="2" customWidth="1"/>
    <col min="3" max="3" width="26.5" style="6" customWidth="1"/>
    <col min="4" max="4" width="30.296875" style="2" customWidth="1"/>
    <col min="5" max="5" width="19.3984375" style="2" customWidth="1"/>
    <col min="6" max="6" width="14.8984375" style="2" customWidth="1"/>
    <col min="7" max="7" width="22.09765625" style="2" customWidth="1"/>
    <col min="8" max="8" width="13.8984375" style="2" customWidth="1"/>
    <col min="9" max="9" width="28.09765625" style="2" customWidth="1"/>
    <col min="10" max="10" width="17.296875" style="2" customWidth="1"/>
    <col min="11" max="11" width="17.59765625" style="2" customWidth="1"/>
    <col min="12" max="12" width="8.796875" style="2" customWidth="1"/>
    <col min="13" max="16384" width="8.796875" style="2"/>
  </cols>
  <sheetData>
    <row r="1" spans="1:9" s="5" customFormat="1" ht="13.3" customHeight="1" x14ac:dyDescent="0.3">
      <c r="A1" s="50" t="s">
        <v>160</v>
      </c>
      <c r="B1" s="50"/>
      <c r="C1" s="9" t="s">
        <v>0</v>
      </c>
      <c r="D1" s="47" t="s">
        <v>1</v>
      </c>
      <c r="E1" s="47"/>
      <c r="H1" s="4"/>
      <c r="I1" s="4"/>
    </row>
    <row r="2" spans="1:9" s="5" customFormat="1" ht="13.3" customHeight="1" x14ac:dyDescent="0.3">
      <c r="A2" s="50"/>
      <c r="B2" s="50"/>
      <c r="C2" s="9" t="s">
        <v>2</v>
      </c>
      <c r="D2" s="47" t="s">
        <v>3</v>
      </c>
      <c r="E2" s="47"/>
      <c r="H2" s="4"/>
      <c r="I2" s="4"/>
    </row>
    <row r="3" spans="1:9" s="5" customFormat="1" ht="13.3" customHeight="1" x14ac:dyDescent="0.3">
      <c r="A3" s="51" t="s">
        <v>161</v>
      </c>
      <c r="B3" s="51"/>
      <c r="C3" s="9" t="s">
        <v>4</v>
      </c>
      <c r="D3" s="47" t="s">
        <v>5</v>
      </c>
      <c r="E3" s="47"/>
      <c r="H3" s="4"/>
      <c r="I3" s="4"/>
    </row>
    <row r="4" spans="1:9" s="5" customFormat="1" ht="13.3" customHeight="1" x14ac:dyDescent="0.3">
      <c r="A4" s="51"/>
      <c r="B4" s="51"/>
      <c r="C4" s="9" t="s">
        <v>6</v>
      </c>
      <c r="D4" s="47" t="s">
        <v>7</v>
      </c>
      <c r="E4" s="47"/>
      <c r="H4" s="4"/>
      <c r="I4" s="4"/>
    </row>
    <row r="6" spans="1:9" s="13" customFormat="1" ht="22.15" customHeight="1" x14ac:dyDescent="0.3">
      <c r="A6" s="12" t="s">
        <v>124</v>
      </c>
      <c r="C6" s="14"/>
    </row>
    <row r="7" spans="1:9" ht="14.4" customHeight="1" x14ac:dyDescent="0.3">
      <c r="A7" s="7"/>
      <c r="C7" s="8"/>
    </row>
    <row r="8" spans="1:9" ht="22.15" customHeight="1" x14ac:dyDescent="0.3">
      <c r="A8" s="2" t="str">
        <f>B8&amp;C8</f>
        <v>Сервер Dell PowerEdge R750Новосибирск</v>
      </c>
      <c r="B8" s="17" t="s">
        <v>24</v>
      </c>
      <c r="C8" s="15" t="s">
        <v>19</v>
      </c>
      <c r="D8" s="16" t="str">
        <f>IFERROR(VLOOKUP($B8&amp;$C8,$A$10:$E$30,4,0),"-")</f>
        <v>INV-NSK-IT-077</v>
      </c>
      <c r="E8" s="16">
        <f>IFERROR(VLOOKUP($B8&amp;$C8,$A$10:$E$30,5,0),"-")</f>
        <v>420000</v>
      </c>
    </row>
    <row r="9" spans="1:9" ht="10" customHeight="1" x14ac:dyDescent="0.3">
      <c r="B9" s="7"/>
      <c r="C9" s="2"/>
      <c r="D9" s="8"/>
    </row>
    <row r="10" spans="1:9" ht="31.6" customHeight="1" x14ac:dyDescent="0.3">
      <c r="B10" s="1" t="s">
        <v>9</v>
      </c>
      <c r="C10" s="1" t="s">
        <v>11</v>
      </c>
      <c r="D10" s="1" t="s">
        <v>8</v>
      </c>
      <c r="E10" s="1" t="s">
        <v>10</v>
      </c>
    </row>
    <row r="11" spans="1:9" x14ac:dyDescent="0.3">
      <c r="A11" s="57" t="str">
        <f>B11&amp;C11</f>
        <v>Принтер HP LaserJet Pro M404dnМосква</v>
      </c>
      <c r="B11" s="2" t="s">
        <v>13</v>
      </c>
      <c r="C11" s="2" t="s">
        <v>14</v>
      </c>
      <c r="D11" s="2" t="s">
        <v>12</v>
      </c>
      <c r="E11" s="6">
        <v>35000</v>
      </c>
    </row>
    <row r="12" spans="1:9" x14ac:dyDescent="0.3">
      <c r="A12" s="57" t="str">
        <f t="shared" ref="A12:A30" si="0">B12&amp;C12</f>
        <v>Станок ЧПУ Haas TM-1PЕкатеринбург</v>
      </c>
      <c r="B12" s="2" t="s">
        <v>17</v>
      </c>
      <c r="C12" s="2" t="s">
        <v>18</v>
      </c>
      <c r="D12" s="2" t="s">
        <v>16</v>
      </c>
      <c r="E12" s="6">
        <v>1850000</v>
      </c>
    </row>
    <row r="13" spans="1:9" x14ac:dyDescent="0.3">
      <c r="A13" s="57" t="str">
        <f t="shared" si="0"/>
        <v>Принтер HP LaserJet Pro M404dnСанкт-Петербург</v>
      </c>
      <c r="B13" s="2" t="s">
        <v>13</v>
      </c>
      <c r="C13" s="2" t="s">
        <v>15</v>
      </c>
      <c r="D13" s="2" t="s">
        <v>45</v>
      </c>
      <c r="E13" s="6">
        <v>36500</v>
      </c>
    </row>
    <row r="14" spans="1:9" x14ac:dyDescent="0.3">
      <c r="A14" s="57" t="str">
        <f t="shared" si="0"/>
        <v>Автомобиль Volkswagen TiguanМосква</v>
      </c>
      <c r="B14" s="2" t="s">
        <v>21</v>
      </c>
      <c r="C14" s="2" t="s">
        <v>14</v>
      </c>
      <c r="D14" s="2" t="s">
        <v>20</v>
      </c>
      <c r="E14" s="6">
        <v>2300000</v>
      </c>
    </row>
    <row r="15" spans="1:9" x14ac:dyDescent="0.3">
      <c r="A15" s="57" t="str">
        <f t="shared" si="0"/>
        <v>Станок ЧПУ Haas TM-1PНовосибирск</v>
      </c>
      <c r="B15" s="2" t="s">
        <v>17</v>
      </c>
      <c r="C15" s="2" t="s">
        <v>19</v>
      </c>
      <c r="D15" s="2" t="s">
        <v>46</v>
      </c>
      <c r="E15" s="6">
        <v>1870000</v>
      </c>
    </row>
    <row r="16" spans="1:9" x14ac:dyDescent="0.3">
      <c r="A16" s="57" t="str">
        <f t="shared" si="0"/>
        <v>Автомобиль Volkswagen TiguanКазань</v>
      </c>
      <c r="B16" s="2" t="s">
        <v>21</v>
      </c>
      <c r="C16" s="2" t="s">
        <v>22</v>
      </c>
      <c r="D16" s="2" t="s">
        <v>47</v>
      </c>
      <c r="E16" s="6">
        <v>2280000</v>
      </c>
    </row>
    <row r="17" spans="1:5" x14ac:dyDescent="0.3">
      <c r="A17" s="57" t="str">
        <f t="shared" si="0"/>
        <v>Сервер Dell PowerEdge R750Новосибирск</v>
      </c>
      <c r="B17" s="2" t="s">
        <v>24</v>
      </c>
      <c r="C17" s="2" t="s">
        <v>19</v>
      </c>
      <c r="D17" s="2" t="s">
        <v>23</v>
      </c>
      <c r="E17" s="6">
        <v>420000</v>
      </c>
    </row>
    <row r="18" spans="1:5" x14ac:dyDescent="0.3">
      <c r="A18" s="57" t="str">
        <f t="shared" si="0"/>
        <v>Мебель офисная (комплект)Москва</v>
      </c>
      <c r="B18" s="2" t="s">
        <v>26</v>
      </c>
      <c r="C18" s="2" t="s">
        <v>14</v>
      </c>
      <c r="D18" s="2" t="s">
        <v>25</v>
      </c>
      <c r="E18" s="6">
        <v>340000</v>
      </c>
    </row>
    <row r="19" spans="1:5" x14ac:dyDescent="0.3">
      <c r="A19" s="57" t="str">
        <f t="shared" si="0"/>
        <v>Сервер Dell PowerEdge R750Санкт-Петербург</v>
      </c>
      <c r="B19" s="2" t="s">
        <v>24</v>
      </c>
      <c r="C19" s="2" t="s">
        <v>15</v>
      </c>
      <c r="D19" s="2" t="s">
        <v>48</v>
      </c>
      <c r="E19" s="6">
        <v>435000</v>
      </c>
    </row>
    <row r="20" spans="1:5" x14ac:dyDescent="0.3">
      <c r="A20" s="57" t="str">
        <f t="shared" si="0"/>
        <v>Мебель офисная (комплект)Екатеринбург</v>
      </c>
      <c r="B20" s="2" t="s">
        <v>26</v>
      </c>
      <c r="C20" s="2" t="s">
        <v>18</v>
      </c>
      <c r="D20" s="2" t="s">
        <v>49</v>
      </c>
      <c r="E20" s="6">
        <v>325000</v>
      </c>
    </row>
    <row r="21" spans="1:5" x14ac:dyDescent="0.3">
      <c r="A21" s="57" t="str">
        <f t="shared" si="0"/>
        <v>ИБП Eaton 9PX 6000RTКазань</v>
      </c>
      <c r="B21" s="2" t="s">
        <v>28</v>
      </c>
      <c r="C21" s="2" t="s">
        <v>22</v>
      </c>
      <c r="D21" s="2" t="s">
        <v>27</v>
      </c>
      <c r="E21" s="6">
        <v>185000</v>
      </c>
    </row>
    <row r="22" spans="1:5" x14ac:dyDescent="0.3">
      <c r="A22" s="57" t="str">
        <f t="shared" si="0"/>
        <v>Медицинский аппарат УЗИ Mindray DC-8Москва</v>
      </c>
      <c r="B22" s="2" t="s">
        <v>30</v>
      </c>
      <c r="C22" s="2" t="s">
        <v>14</v>
      </c>
      <c r="D22" s="2" t="s">
        <v>29</v>
      </c>
      <c r="E22" s="6">
        <v>3500000</v>
      </c>
    </row>
    <row r="23" spans="1:5" x14ac:dyDescent="0.3">
      <c r="A23" s="57" t="str">
        <f t="shared" si="0"/>
        <v>ИБП Eaton 9PX 6000RTНовосибирск</v>
      </c>
      <c r="B23" s="2" t="s">
        <v>28</v>
      </c>
      <c r="C23" s="2" t="s">
        <v>19</v>
      </c>
      <c r="D23" s="2" t="s">
        <v>50</v>
      </c>
      <c r="E23" s="6">
        <v>190000</v>
      </c>
    </row>
    <row r="24" spans="1:5" x14ac:dyDescent="0.3">
      <c r="A24" s="57" t="str">
        <f t="shared" si="0"/>
        <v>Лабораторный спектрометр AgilentСанкт-Петербург</v>
      </c>
      <c r="B24" s="2" t="s">
        <v>32</v>
      </c>
      <c r="C24" s="2" t="s">
        <v>15</v>
      </c>
      <c r="D24" s="2" t="s">
        <v>31</v>
      </c>
      <c r="E24" s="6">
        <v>2100000</v>
      </c>
    </row>
    <row r="25" spans="1:5" x14ac:dyDescent="0.3">
      <c r="A25" s="57" t="str">
        <f t="shared" si="0"/>
        <v>Система кондиционирования DaikinКазань</v>
      </c>
      <c r="B25" s="2" t="s">
        <v>34</v>
      </c>
      <c r="C25" s="2" t="s">
        <v>22</v>
      </c>
      <c r="D25" s="2" t="s">
        <v>33</v>
      </c>
      <c r="E25" s="6">
        <v>680000</v>
      </c>
    </row>
    <row r="26" spans="1:5" x14ac:dyDescent="0.3">
      <c r="A26" s="57" t="str">
        <f t="shared" si="0"/>
        <v>Сканер штрихкодов Zebra DS2208Екатеринбург</v>
      </c>
      <c r="B26" s="2" t="s">
        <v>36</v>
      </c>
      <c r="C26" s="2" t="s">
        <v>18</v>
      </c>
      <c r="D26" s="2" t="s">
        <v>35</v>
      </c>
      <c r="E26" s="6">
        <v>32000</v>
      </c>
    </row>
    <row r="27" spans="1:5" x14ac:dyDescent="0.3">
      <c r="A27" s="57" t="str">
        <f t="shared" si="0"/>
        <v>Коммутатор Cisco Catalyst 9200LНовосибирск</v>
      </c>
      <c r="B27" s="2" t="s">
        <v>38</v>
      </c>
      <c r="C27" s="2" t="s">
        <v>19</v>
      </c>
      <c r="D27" s="2" t="s">
        <v>37</v>
      </c>
      <c r="E27" s="6">
        <v>78000</v>
      </c>
    </row>
    <row r="28" spans="1:5" x14ac:dyDescent="0.3">
      <c r="A28" s="57" t="str">
        <f t="shared" si="0"/>
        <v>Сейф металлический APECS LS-30Москва</v>
      </c>
      <c r="B28" s="2" t="s">
        <v>40</v>
      </c>
      <c r="C28" s="2" t="s">
        <v>14</v>
      </c>
      <c r="D28" s="2" t="s">
        <v>39</v>
      </c>
      <c r="E28" s="6">
        <v>64000</v>
      </c>
    </row>
    <row r="29" spans="1:5" x14ac:dyDescent="0.3">
      <c r="A29" s="57" t="str">
        <f t="shared" si="0"/>
        <v>Рабочая станция HP Z4 G4Санкт-Петербург</v>
      </c>
      <c r="B29" s="2" t="s">
        <v>42</v>
      </c>
      <c r="C29" s="2" t="s">
        <v>15</v>
      </c>
      <c r="D29" s="2" t="s">
        <v>41</v>
      </c>
      <c r="E29" s="6">
        <v>210000</v>
      </c>
    </row>
    <row r="30" spans="1:5" x14ac:dyDescent="0.3">
      <c r="A30" s="57" t="str">
        <f t="shared" si="0"/>
        <v>Видеоконференц-система Poly X50Казань</v>
      </c>
      <c r="B30" s="2" t="s">
        <v>44</v>
      </c>
      <c r="C30" s="2" t="s">
        <v>22</v>
      </c>
      <c r="D30" s="2" t="s">
        <v>43</v>
      </c>
      <c r="E30" s="6">
        <v>340000</v>
      </c>
    </row>
  </sheetData>
  <sortState xmlns:xlrd2="http://schemas.microsoft.com/office/spreadsheetml/2017/richdata2" ref="B11:I30">
    <sortCondition ref="F11:F30"/>
  </sortState>
  <mergeCells count="6">
    <mergeCell ref="D1:E1"/>
    <mergeCell ref="D2:E2"/>
    <mergeCell ref="D3:E3"/>
    <mergeCell ref="D4:E4"/>
    <mergeCell ref="A1:B2"/>
    <mergeCell ref="A3:B4"/>
  </mergeCells>
  <phoneticPr fontId="10" type="noConversion"/>
  <hyperlinks>
    <hyperlink ref="D2" r:id="rId1" xr:uid="{A407B18A-1673-4778-A3A6-40E30F97F0C3}"/>
    <hyperlink ref="D3" r:id="rId2" xr:uid="{859C2D1A-8D9D-4138-A927-7E86FED6F98A}"/>
    <hyperlink ref="D4" r:id="rId3" xr:uid="{DCBCCE9A-44FF-4D80-A823-7EA525606C9A}"/>
    <hyperlink ref="D1" r:id="rId4" xr:uid="{AB3F3F10-8154-4BC4-AAFF-AA4BE7FEF59D}"/>
    <hyperlink ref="D1:E1" r:id="rId5" display="https://first.excel-club.ru" xr:uid="{05CB1449-F6EA-4A24-A03F-F05168CD1E8A}"/>
  </hyperlinks>
  <pageMargins left="0.7" right="0.7" top="0.75" bottom="0.75" header="0.3" footer="0.3"/>
  <drawing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898B52-A540-4789-A8D6-E384547A06E5}">
          <x14:formula1>
            <xm:f>справочник!$A$2:$A$15</xm:f>
          </x14:formula1>
          <xm:sqref>B8</xm:sqref>
        </x14:dataValidation>
        <x14:dataValidation type="list" allowBlank="1" showInputMessage="1" showErrorMessage="1" xr:uid="{EC58D334-49BE-4163-A898-6AB63B22EB6F}">
          <x14:formula1>
            <xm:f>справочник!$B$2:$B$6</xm:f>
          </x14:formula1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AE4B-DA08-4BC1-97AD-B0FC005F9587}">
  <dimension ref="A1:I25"/>
  <sheetViews>
    <sheetView zoomScale="90" zoomScaleNormal="90" workbookViewId="0">
      <pane ySplit="7" topLeftCell="A8" activePane="bottomLeft" state="frozen"/>
      <selection pane="bottomLeft" activeCell="G15" sqref="G15"/>
    </sheetView>
  </sheetViews>
  <sheetFormatPr defaultRowHeight="14.4" x14ac:dyDescent="0.3"/>
  <cols>
    <col min="1" max="1" width="42.59765625" style="2" customWidth="1"/>
    <col min="2" max="2" width="17.8984375" style="2" customWidth="1"/>
    <col min="3" max="3" width="17.8984375" style="6" customWidth="1"/>
    <col min="4" max="4" width="17.8984375" style="2" customWidth="1"/>
    <col min="5" max="5" width="17.3984375" style="2" customWidth="1"/>
    <col min="6" max="6" width="26.09765625" style="2" customWidth="1"/>
    <col min="7" max="7" width="23.3984375" style="2" customWidth="1"/>
    <col min="8" max="8" width="13.8984375" style="2" customWidth="1"/>
    <col min="9" max="9" width="28.09765625" style="2" customWidth="1"/>
    <col min="10" max="10" width="17.296875" style="2" customWidth="1"/>
    <col min="11" max="11" width="17.59765625" style="2" customWidth="1"/>
    <col min="12" max="12" width="8.796875" style="2" customWidth="1"/>
    <col min="13" max="16384" width="8.796875" style="2"/>
  </cols>
  <sheetData>
    <row r="1" spans="1:9" s="5" customFormat="1" ht="13.3" customHeight="1" x14ac:dyDescent="0.3">
      <c r="A1" s="48" t="s">
        <v>160</v>
      </c>
      <c r="C1" s="9" t="s">
        <v>0</v>
      </c>
      <c r="D1" s="47" t="s">
        <v>1</v>
      </c>
      <c r="E1" s="47"/>
      <c r="H1" s="4"/>
      <c r="I1" s="4"/>
    </row>
    <row r="2" spans="1:9" s="5" customFormat="1" ht="13.3" customHeight="1" x14ac:dyDescent="0.3">
      <c r="A2" s="48"/>
      <c r="C2" s="9" t="s">
        <v>2</v>
      </c>
      <c r="D2" s="47" t="s">
        <v>3</v>
      </c>
      <c r="E2" s="47"/>
      <c r="H2" s="4"/>
      <c r="I2" s="4"/>
    </row>
    <row r="3" spans="1:9" s="5" customFormat="1" ht="13.3" customHeight="1" x14ac:dyDescent="0.3">
      <c r="A3" s="49" t="s">
        <v>161</v>
      </c>
      <c r="C3" s="9" t="s">
        <v>4</v>
      </c>
      <c r="D3" s="47" t="s">
        <v>5</v>
      </c>
      <c r="E3" s="47"/>
      <c r="H3" s="4"/>
      <c r="I3" s="4"/>
    </row>
    <row r="4" spans="1:9" s="5" customFormat="1" ht="13.3" customHeight="1" x14ac:dyDescent="0.3">
      <c r="A4" s="49"/>
      <c r="C4" s="9" t="s">
        <v>6</v>
      </c>
      <c r="D4" s="47" t="s">
        <v>7</v>
      </c>
      <c r="E4" s="47"/>
      <c r="H4" s="4"/>
      <c r="I4" s="4"/>
    </row>
    <row r="6" spans="1:9" s="13" customFormat="1" ht="22.15" customHeight="1" x14ac:dyDescent="0.3">
      <c r="A6" s="12" t="s">
        <v>127</v>
      </c>
      <c r="C6" s="14"/>
    </row>
    <row r="7" spans="1:9" ht="15.65" customHeight="1" x14ac:dyDescent="0.3">
      <c r="A7" s="7"/>
      <c r="C7" s="8"/>
    </row>
    <row r="8" spans="1:9" ht="23.3" customHeight="1" x14ac:dyDescent="0.3">
      <c r="A8" s="1" t="s">
        <v>125</v>
      </c>
      <c r="B8" s="19" t="s">
        <v>14</v>
      </c>
      <c r="C8" s="19" t="s">
        <v>126</v>
      </c>
      <c r="D8" s="19" t="s">
        <v>22</v>
      </c>
      <c r="F8" s="21" t="s">
        <v>42</v>
      </c>
      <c r="G8" s="22" t="s">
        <v>22</v>
      </c>
    </row>
    <row r="9" spans="1:9" ht="15.65" customHeight="1" x14ac:dyDescent="0.3">
      <c r="A9" s="2" t="s">
        <v>21</v>
      </c>
      <c r="B9" s="18">
        <v>1</v>
      </c>
      <c r="C9" s="18">
        <v>7</v>
      </c>
      <c r="D9" s="18">
        <v>10</v>
      </c>
      <c r="F9" s="52">
        <f>VLOOKUP(F8,A8:D22,MATCH(G8,A8:D8,0),0)</f>
        <v>2</v>
      </c>
      <c r="G9" s="53"/>
    </row>
    <row r="10" spans="1:9" ht="15.65" customHeight="1" x14ac:dyDescent="0.3">
      <c r="A10" s="2" t="s">
        <v>44</v>
      </c>
      <c r="B10" s="18">
        <v>0</v>
      </c>
      <c r="C10" s="18">
        <v>7</v>
      </c>
      <c r="D10" s="18">
        <v>9</v>
      </c>
      <c r="F10" s="54"/>
      <c r="G10" s="55"/>
    </row>
    <row r="11" spans="1:9" ht="15.65" customHeight="1" x14ac:dyDescent="0.3">
      <c r="A11" s="2" t="s">
        <v>28</v>
      </c>
      <c r="B11" s="18">
        <v>7</v>
      </c>
      <c r="C11" s="18">
        <v>11</v>
      </c>
      <c r="D11" s="18">
        <v>0</v>
      </c>
    </row>
    <row r="12" spans="1:9" ht="15.65" customHeight="1" x14ac:dyDescent="0.3">
      <c r="A12" s="2" t="s">
        <v>38</v>
      </c>
      <c r="B12" s="18">
        <v>10</v>
      </c>
      <c r="C12" s="18">
        <v>0</v>
      </c>
      <c r="D12" s="18">
        <v>11</v>
      </c>
      <c r="G12" s="58">
        <f>MATCH(G8,A8:D8,0)</f>
        <v>4</v>
      </c>
    </row>
    <row r="13" spans="1:9" ht="15.65" customHeight="1" x14ac:dyDescent="0.3">
      <c r="A13" s="2" t="s">
        <v>32</v>
      </c>
      <c r="B13" s="18">
        <v>1</v>
      </c>
      <c r="C13" s="18">
        <v>7</v>
      </c>
      <c r="D13" s="18">
        <v>1</v>
      </c>
      <c r="G13" s="59">
        <f>MATCH(G8,B8:D8,0)</f>
        <v>3</v>
      </c>
    </row>
    <row r="14" spans="1:9" ht="15.65" customHeight="1" x14ac:dyDescent="0.3">
      <c r="A14" s="2" t="s">
        <v>26</v>
      </c>
      <c r="B14" s="18">
        <v>0</v>
      </c>
      <c r="C14" s="18">
        <v>6</v>
      </c>
      <c r="D14" s="18">
        <v>8</v>
      </c>
    </row>
    <row r="15" spans="1:9" ht="15.65" customHeight="1" x14ac:dyDescent="0.3">
      <c r="A15" s="2" t="s">
        <v>30</v>
      </c>
      <c r="B15" s="18">
        <v>8</v>
      </c>
      <c r="C15" s="18">
        <v>1</v>
      </c>
      <c r="D15" s="18">
        <v>2</v>
      </c>
    </row>
    <row r="16" spans="1:9" ht="15.65" customHeight="1" x14ac:dyDescent="0.3">
      <c r="A16" s="2" t="s">
        <v>42</v>
      </c>
      <c r="B16" s="18">
        <v>0</v>
      </c>
      <c r="C16" s="18">
        <v>5</v>
      </c>
      <c r="D16" s="18">
        <v>2</v>
      </c>
    </row>
    <row r="17" spans="1:4" ht="15.65" customHeight="1" x14ac:dyDescent="0.3">
      <c r="A17" s="2" t="s">
        <v>40</v>
      </c>
      <c r="B17" s="18">
        <v>2</v>
      </c>
      <c r="C17" s="18">
        <v>0</v>
      </c>
      <c r="D17" s="18">
        <v>6</v>
      </c>
    </row>
    <row r="18" spans="1:4" ht="15.65" customHeight="1" x14ac:dyDescent="0.3">
      <c r="A18" s="2" t="s">
        <v>24</v>
      </c>
      <c r="B18" s="18">
        <v>9</v>
      </c>
      <c r="C18" s="18">
        <v>5</v>
      </c>
      <c r="D18" s="18">
        <v>9</v>
      </c>
    </row>
    <row r="19" spans="1:4" ht="15.65" customHeight="1" x14ac:dyDescent="0.3">
      <c r="A19" s="2" t="s">
        <v>34</v>
      </c>
      <c r="B19" s="18">
        <v>5</v>
      </c>
      <c r="C19" s="18">
        <v>8</v>
      </c>
      <c r="D19" s="18">
        <v>11</v>
      </c>
    </row>
    <row r="20" spans="1:4" ht="15.65" customHeight="1" x14ac:dyDescent="0.3">
      <c r="A20" s="2" t="s">
        <v>36</v>
      </c>
      <c r="B20" s="18">
        <v>11</v>
      </c>
      <c r="C20" s="18">
        <v>4</v>
      </c>
      <c r="D20" s="18">
        <v>6</v>
      </c>
    </row>
    <row r="21" spans="1:4" ht="15.65" customHeight="1" x14ac:dyDescent="0.3">
      <c r="A21" s="2" t="s">
        <v>17</v>
      </c>
      <c r="B21" s="18">
        <v>4</v>
      </c>
      <c r="C21" s="18">
        <v>2</v>
      </c>
      <c r="D21" s="18">
        <v>3</v>
      </c>
    </row>
    <row r="22" spans="1:4" x14ac:dyDescent="0.3">
      <c r="A22"/>
      <c r="C22" s="2"/>
      <c r="D22" s="6"/>
    </row>
    <row r="23" spans="1:4" x14ac:dyDescent="0.3">
      <c r="A23"/>
      <c r="C23" s="2"/>
      <c r="D23" s="6"/>
    </row>
    <row r="24" spans="1:4" x14ac:dyDescent="0.3">
      <c r="A24"/>
    </row>
    <row r="25" spans="1:4" x14ac:dyDescent="0.3">
      <c r="A25"/>
    </row>
  </sheetData>
  <sortState xmlns:xlrd2="http://schemas.microsoft.com/office/spreadsheetml/2017/richdata2" ref="A9:A21">
    <sortCondition ref="A9:A21"/>
  </sortState>
  <mergeCells count="7">
    <mergeCell ref="F9:G10"/>
    <mergeCell ref="A1:A2"/>
    <mergeCell ref="D1:E1"/>
    <mergeCell ref="D2:E2"/>
    <mergeCell ref="A3:A4"/>
    <mergeCell ref="D3:E3"/>
    <mergeCell ref="D4:E4"/>
  </mergeCells>
  <dataValidations count="2">
    <dataValidation type="list" allowBlank="1" showInputMessage="1" showErrorMessage="1" sqref="F8" xr:uid="{FED154ED-07B4-4C60-923F-E246178EE702}">
      <formula1>$A$9:$A$21</formula1>
    </dataValidation>
    <dataValidation type="list" allowBlank="1" showInputMessage="1" showErrorMessage="1" sqref="G8" xr:uid="{D97703A3-C255-436E-B50D-9177549B4A90}">
      <formula1>$B$8:$D$8</formula1>
    </dataValidation>
  </dataValidations>
  <hyperlinks>
    <hyperlink ref="D2" r:id="rId1" xr:uid="{7BD699D0-DE19-48F2-9D8F-AB0762A026A7}"/>
    <hyperlink ref="D3" r:id="rId2" xr:uid="{B0605624-0843-4451-8ADE-B48E734A4787}"/>
    <hyperlink ref="D4" r:id="rId3" xr:uid="{15734B07-3972-4842-9DAF-4FDFCC8981DD}"/>
    <hyperlink ref="D1" r:id="rId4" xr:uid="{DBB57682-EF84-471A-AEC9-11838F712702}"/>
    <hyperlink ref="D1:E1" r:id="rId5" display="https://first.excel-club.ru" xr:uid="{140157BA-2BB2-4A75-98F2-7ED44E452717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BBE8-5849-46B7-A0A2-1AB5F1404549}">
  <dimension ref="A1:T35"/>
  <sheetViews>
    <sheetView tabSelected="1" zoomScale="90" zoomScaleNormal="90" workbookViewId="0">
      <pane ySplit="6" topLeftCell="A19" activePane="bottomLeft" state="frozen"/>
      <selection pane="bottomLeft" activeCell="J32" sqref="J32"/>
    </sheetView>
  </sheetViews>
  <sheetFormatPr defaultRowHeight="14.4" x14ac:dyDescent="0.3"/>
  <cols>
    <col min="1" max="1" width="21" style="2" customWidth="1"/>
    <col min="2" max="3" width="11.796875" style="2" customWidth="1"/>
    <col min="4" max="4" width="11.796875" style="6" customWidth="1"/>
    <col min="5" max="19" width="11.796875" style="2" customWidth="1"/>
    <col min="20" max="20" width="12" style="2" bestFit="1" customWidth="1"/>
    <col min="21" max="21" width="12.5" style="2" customWidth="1"/>
    <col min="22" max="16384" width="8.796875" style="2"/>
  </cols>
  <sheetData>
    <row r="1" spans="1:20" s="5" customFormat="1" ht="13.3" customHeight="1" x14ac:dyDescent="0.3">
      <c r="A1" s="48" t="s">
        <v>160</v>
      </c>
      <c r="B1" s="48"/>
      <c r="C1" s="44"/>
      <c r="D1" s="9" t="s">
        <v>0</v>
      </c>
      <c r="E1" s="47" t="s">
        <v>1</v>
      </c>
      <c r="F1" s="47"/>
      <c r="I1" s="4"/>
      <c r="J1" s="4"/>
      <c r="K1" s="4"/>
    </row>
    <row r="2" spans="1:20" s="5" customFormat="1" ht="13.3" customHeight="1" x14ac:dyDescent="0.3">
      <c r="A2" s="48"/>
      <c r="B2" s="48"/>
      <c r="C2" s="44"/>
      <c r="D2" s="9" t="s">
        <v>2</v>
      </c>
      <c r="E2" s="47" t="s">
        <v>3</v>
      </c>
      <c r="F2" s="47"/>
      <c r="I2" s="4"/>
      <c r="J2" s="4"/>
      <c r="K2" s="4"/>
    </row>
    <row r="3" spans="1:20" s="5" customFormat="1" ht="13.3" customHeight="1" x14ac:dyDescent="0.3">
      <c r="A3" s="49" t="s">
        <v>161</v>
      </c>
      <c r="B3" s="49"/>
      <c r="C3" s="49"/>
      <c r="D3" s="9" t="s">
        <v>4</v>
      </c>
      <c r="E3" s="47" t="s">
        <v>5</v>
      </c>
      <c r="F3" s="47"/>
      <c r="I3" s="4"/>
      <c r="J3" s="4"/>
      <c r="K3" s="4"/>
    </row>
    <row r="4" spans="1:20" s="5" customFormat="1" ht="13.3" customHeight="1" x14ac:dyDescent="0.3">
      <c r="A4" s="49"/>
      <c r="B4" s="49"/>
      <c r="C4" s="49"/>
      <c r="D4" s="9" t="s">
        <v>6</v>
      </c>
      <c r="E4" s="47" t="s">
        <v>7</v>
      </c>
      <c r="F4" s="47"/>
      <c r="I4" s="4"/>
      <c r="J4" s="4"/>
      <c r="K4" s="4"/>
    </row>
    <row r="6" spans="1:20" s="13" customFormat="1" ht="22.15" customHeight="1" x14ac:dyDescent="0.3">
      <c r="A6" s="12" t="s">
        <v>129</v>
      </c>
      <c r="D6" s="14"/>
    </row>
    <row r="7" spans="1:20" ht="15.65" customHeight="1" x14ac:dyDescent="0.3">
      <c r="A7" s="7"/>
      <c r="D7" s="8"/>
    </row>
    <row r="8" spans="1:20" ht="15.65" customHeight="1" x14ac:dyDescent="0.3">
      <c r="A8" s="7" t="s">
        <v>158</v>
      </c>
      <c r="D8" s="8"/>
    </row>
    <row r="9" spans="1:20" s="18" customFormat="1" ht="29.95" customHeight="1" x14ac:dyDescent="0.3">
      <c r="A9" s="19" t="s">
        <v>11</v>
      </c>
      <c r="B9" s="19" t="s">
        <v>130</v>
      </c>
      <c r="C9" s="19" t="s">
        <v>131</v>
      </c>
      <c r="D9" s="19" t="s">
        <v>132</v>
      </c>
      <c r="E9" s="25" t="s">
        <v>142</v>
      </c>
      <c r="F9" s="19" t="s">
        <v>133</v>
      </c>
      <c r="G9" s="19" t="s">
        <v>134</v>
      </c>
      <c r="H9" s="19" t="s">
        <v>135</v>
      </c>
      <c r="I9" s="25" t="s">
        <v>143</v>
      </c>
      <c r="J9" s="25" t="s">
        <v>155</v>
      </c>
      <c r="K9" s="19" t="s">
        <v>136</v>
      </c>
      <c r="L9" s="19" t="s">
        <v>137</v>
      </c>
      <c r="M9" s="19" t="s">
        <v>138</v>
      </c>
      <c r="N9" s="25" t="s">
        <v>144</v>
      </c>
      <c r="O9" s="19" t="s">
        <v>139</v>
      </c>
      <c r="P9" s="19" t="s">
        <v>140</v>
      </c>
      <c r="Q9" s="19" t="s">
        <v>141</v>
      </c>
      <c r="R9" s="25" t="s">
        <v>145</v>
      </c>
      <c r="S9" s="25" t="s">
        <v>156</v>
      </c>
      <c r="T9" s="19" t="s">
        <v>157</v>
      </c>
    </row>
    <row r="10" spans="1:20" s="37" customFormat="1" ht="15.65" customHeight="1" x14ac:dyDescent="0.3">
      <c r="A10" s="33" t="s">
        <v>14</v>
      </c>
      <c r="B10" s="26">
        <v>150000</v>
      </c>
      <c r="C10" s="26">
        <v>131000</v>
      </c>
      <c r="D10" s="26">
        <v>117000</v>
      </c>
      <c r="E10" s="34">
        <v>398000</v>
      </c>
      <c r="F10" s="26">
        <v>178000</v>
      </c>
      <c r="G10" s="26">
        <v>112000</v>
      </c>
      <c r="H10" s="26">
        <v>166000</v>
      </c>
      <c r="I10" s="34">
        <v>456000</v>
      </c>
      <c r="J10" s="35">
        <v>854000</v>
      </c>
      <c r="K10" s="26">
        <v>125000</v>
      </c>
      <c r="L10" s="26">
        <v>122000</v>
      </c>
      <c r="M10" s="26">
        <v>132000</v>
      </c>
      <c r="N10" s="34">
        <v>379000</v>
      </c>
      <c r="O10" s="26">
        <v>108000</v>
      </c>
      <c r="P10" s="26">
        <v>124000</v>
      </c>
      <c r="Q10" s="26">
        <v>144000</v>
      </c>
      <c r="R10" s="34">
        <v>376000</v>
      </c>
      <c r="S10" s="35">
        <v>755000</v>
      </c>
      <c r="T10" s="36">
        <v>1671000</v>
      </c>
    </row>
    <row r="11" spans="1:20" s="37" customFormat="1" ht="15.65" customHeight="1" x14ac:dyDescent="0.3">
      <c r="A11" s="33" t="s">
        <v>15</v>
      </c>
      <c r="B11" s="26">
        <v>151000</v>
      </c>
      <c r="C11" s="26">
        <v>159000</v>
      </c>
      <c r="D11" s="26">
        <v>164000</v>
      </c>
      <c r="E11" s="34">
        <v>474000</v>
      </c>
      <c r="F11" s="26">
        <v>128000</v>
      </c>
      <c r="G11" s="26">
        <v>173000</v>
      </c>
      <c r="H11" s="26">
        <v>141000</v>
      </c>
      <c r="I11" s="34">
        <v>442000</v>
      </c>
      <c r="J11" s="35">
        <v>916000</v>
      </c>
      <c r="K11" s="26">
        <v>113000</v>
      </c>
      <c r="L11" s="26">
        <v>108000</v>
      </c>
      <c r="M11" s="26">
        <v>127000</v>
      </c>
      <c r="N11" s="34">
        <v>348000</v>
      </c>
      <c r="O11" s="26">
        <v>122000</v>
      </c>
      <c r="P11" s="26">
        <v>102000</v>
      </c>
      <c r="Q11" s="26">
        <v>110000</v>
      </c>
      <c r="R11" s="34">
        <v>334000</v>
      </c>
      <c r="S11" s="35">
        <v>682000</v>
      </c>
      <c r="T11" s="36">
        <v>1538000</v>
      </c>
    </row>
    <row r="12" spans="1:20" s="37" customFormat="1" ht="15.65" customHeight="1" x14ac:dyDescent="0.3">
      <c r="A12" s="33" t="s">
        <v>148</v>
      </c>
      <c r="B12" s="26">
        <v>71000</v>
      </c>
      <c r="C12" s="26">
        <v>175000</v>
      </c>
      <c r="D12" s="26">
        <v>137000</v>
      </c>
      <c r="E12" s="34">
        <v>383000</v>
      </c>
      <c r="F12" s="26">
        <v>164000</v>
      </c>
      <c r="G12" s="26">
        <v>176000</v>
      </c>
      <c r="H12" s="26">
        <v>133000</v>
      </c>
      <c r="I12" s="34">
        <v>473000</v>
      </c>
      <c r="J12" s="35">
        <v>856000</v>
      </c>
      <c r="K12" s="26">
        <v>164000</v>
      </c>
      <c r="L12" s="26">
        <v>164000</v>
      </c>
      <c r="M12" s="26">
        <v>85000</v>
      </c>
      <c r="N12" s="34">
        <v>413000</v>
      </c>
      <c r="O12" s="26">
        <v>55000</v>
      </c>
      <c r="P12" s="26">
        <v>131000</v>
      </c>
      <c r="Q12" s="26">
        <v>145000</v>
      </c>
      <c r="R12" s="34">
        <v>331000</v>
      </c>
      <c r="S12" s="35">
        <v>744000</v>
      </c>
      <c r="T12" s="36">
        <v>1541000</v>
      </c>
    </row>
    <row r="13" spans="1:20" s="37" customFormat="1" ht="15.65" customHeight="1" x14ac:dyDescent="0.3">
      <c r="A13" s="33" t="s">
        <v>146</v>
      </c>
      <c r="B13" s="26">
        <v>103000</v>
      </c>
      <c r="C13" s="26">
        <v>91000</v>
      </c>
      <c r="D13" s="26">
        <v>119000</v>
      </c>
      <c r="E13" s="34">
        <v>313000</v>
      </c>
      <c r="F13" s="26">
        <v>166000</v>
      </c>
      <c r="G13" s="26">
        <v>166000</v>
      </c>
      <c r="H13" s="26">
        <v>152000</v>
      </c>
      <c r="I13" s="34">
        <v>484000</v>
      </c>
      <c r="J13" s="35">
        <v>797000</v>
      </c>
      <c r="K13" s="26">
        <v>114000</v>
      </c>
      <c r="L13" s="26">
        <v>72000</v>
      </c>
      <c r="M13" s="26">
        <v>101000</v>
      </c>
      <c r="N13" s="34">
        <v>287000</v>
      </c>
      <c r="O13" s="26">
        <v>83000</v>
      </c>
      <c r="P13" s="26">
        <v>157000</v>
      </c>
      <c r="Q13" s="26">
        <v>106000</v>
      </c>
      <c r="R13" s="34">
        <v>346000</v>
      </c>
      <c r="S13" s="35">
        <v>633000</v>
      </c>
      <c r="T13" s="36">
        <v>1322000</v>
      </c>
    </row>
    <row r="14" spans="1:20" s="37" customFormat="1" ht="15.65" customHeight="1" x14ac:dyDescent="0.3">
      <c r="A14" s="33" t="s">
        <v>147</v>
      </c>
      <c r="B14" s="26">
        <v>170000</v>
      </c>
      <c r="C14" s="26">
        <v>126000</v>
      </c>
      <c r="D14" s="26">
        <v>135000</v>
      </c>
      <c r="E14" s="34">
        <v>431000</v>
      </c>
      <c r="F14" s="26">
        <v>59000</v>
      </c>
      <c r="G14" s="26">
        <v>125000</v>
      </c>
      <c r="H14" s="26">
        <v>74000</v>
      </c>
      <c r="I14" s="34">
        <v>258000</v>
      </c>
      <c r="J14" s="35">
        <v>689000</v>
      </c>
      <c r="K14" s="26">
        <v>95000</v>
      </c>
      <c r="L14" s="26">
        <v>97000</v>
      </c>
      <c r="M14" s="26">
        <v>141000</v>
      </c>
      <c r="N14" s="34">
        <v>333000</v>
      </c>
      <c r="O14" s="26">
        <v>174000</v>
      </c>
      <c r="P14" s="26">
        <v>179000</v>
      </c>
      <c r="Q14" s="26">
        <v>164000</v>
      </c>
      <c r="R14" s="34">
        <v>517000</v>
      </c>
      <c r="S14" s="35">
        <v>850000</v>
      </c>
      <c r="T14" s="36">
        <v>1284000</v>
      </c>
    </row>
    <row r="15" spans="1:20" s="37" customFormat="1" ht="15.65" customHeight="1" x14ac:dyDescent="0.3">
      <c r="A15" s="33" t="s">
        <v>149</v>
      </c>
      <c r="B15" s="26">
        <v>90000</v>
      </c>
      <c r="C15" s="26">
        <v>87000</v>
      </c>
      <c r="D15" s="26">
        <v>54000</v>
      </c>
      <c r="E15" s="34">
        <v>231000</v>
      </c>
      <c r="F15" s="26">
        <v>60000</v>
      </c>
      <c r="G15" s="26">
        <v>67000</v>
      </c>
      <c r="H15" s="26">
        <v>76000</v>
      </c>
      <c r="I15" s="34">
        <v>203000</v>
      </c>
      <c r="J15" s="35">
        <v>434000</v>
      </c>
      <c r="K15" s="26">
        <v>91000</v>
      </c>
      <c r="L15" s="26">
        <v>71000</v>
      </c>
      <c r="M15" s="26">
        <v>72000</v>
      </c>
      <c r="N15" s="34">
        <v>234000</v>
      </c>
      <c r="O15" s="26">
        <v>87000</v>
      </c>
      <c r="P15" s="26">
        <v>63000</v>
      </c>
      <c r="Q15" s="26">
        <v>96000</v>
      </c>
      <c r="R15" s="34">
        <v>246000</v>
      </c>
      <c r="S15" s="35">
        <v>480000</v>
      </c>
      <c r="T15" s="36">
        <v>788000</v>
      </c>
    </row>
    <row r="16" spans="1:20" s="37" customFormat="1" ht="15.65" customHeight="1" x14ac:dyDescent="0.3">
      <c r="A16" s="33" t="s">
        <v>150</v>
      </c>
      <c r="B16" s="26">
        <v>66000</v>
      </c>
      <c r="C16" s="26">
        <v>47000</v>
      </c>
      <c r="D16" s="26">
        <v>69000</v>
      </c>
      <c r="E16" s="34">
        <v>182000</v>
      </c>
      <c r="F16" s="26">
        <v>32000</v>
      </c>
      <c r="G16" s="26">
        <v>35000</v>
      </c>
      <c r="H16" s="26">
        <v>59000</v>
      </c>
      <c r="I16" s="34">
        <v>126000</v>
      </c>
      <c r="J16" s="35">
        <v>308000</v>
      </c>
      <c r="K16" s="26">
        <v>68000</v>
      </c>
      <c r="L16" s="26">
        <v>66000</v>
      </c>
      <c r="M16" s="26">
        <v>73000</v>
      </c>
      <c r="N16" s="34">
        <v>207000</v>
      </c>
      <c r="O16" s="26">
        <v>78000</v>
      </c>
      <c r="P16" s="26">
        <v>43000</v>
      </c>
      <c r="Q16" s="26">
        <v>44000</v>
      </c>
      <c r="R16" s="34">
        <v>165000</v>
      </c>
      <c r="S16" s="35">
        <v>372000</v>
      </c>
      <c r="T16" s="36">
        <v>1038000</v>
      </c>
    </row>
    <row r="17" spans="1:20" s="37" customFormat="1" ht="15.65" customHeight="1" x14ac:dyDescent="0.3">
      <c r="A17" s="33" t="s">
        <v>151</v>
      </c>
      <c r="B17" s="26">
        <v>128000</v>
      </c>
      <c r="C17" s="26">
        <v>74000</v>
      </c>
      <c r="D17" s="26">
        <v>137000</v>
      </c>
      <c r="E17" s="34">
        <v>339000</v>
      </c>
      <c r="F17" s="26">
        <v>158000</v>
      </c>
      <c r="G17" s="26">
        <v>80000</v>
      </c>
      <c r="H17" s="26">
        <v>89000</v>
      </c>
      <c r="I17" s="34">
        <v>327000</v>
      </c>
      <c r="J17" s="35">
        <v>666000</v>
      </c>
      <c r="K17" s="26">
        <v>66000</v>
      </c>
      <c r="L17" s="26">
        <v>110000</v>
      </c>
      <c r="M17" s="26">
        <v>176000</v>
      </c>
      <c r="N17" s="34">
        <v>352000</v>
      </c>
      <c r="O17" s="26">
        <v>88000</v>
      </c>
      <c r="P17" s="26">
        <v>76000</v>
      </c>
      <c r="Q17" s="26">
        <v>178000</v>
      </c>
      <c r="R17" s="34">
        <v>342000</v>
      </c>
      <c r="S17" s="35">
        <v>694000</v>
      </c>
      <c r="T17" s="36">
        <v>1149000</v>
      </c>
    </row>
    <row r="18" spans="1:20" s="37" customFormat="1" ht="15.65" customHeight="1" x14ac:dyDescent="0.3">
      <c r="A18" s="33" t="s">
        <v>152</v>
      </c>
      <c r="B18" s="26">
        <v>100000</v>
      </c>
      <c r="C18" s="26">
        <v>59000</v>
      </c>
      <c r="D18" s="26">
        <v>112000</v>
      </c>
      <c r="E18" s="34">
        <v>271000</v>
      </c>
      <c r="F18" s="26">
        <v>89000</v>
      </c>
      <c r="G18" s="26">
        <v>52000</v>
      </c>
      <c r="H18" s="26">
        <v>43000</v>
      </c>
      <c r="I18" s="34">
        <v>184000</v>
      </c>
      <c r="J18" s="35">
        <v>455000</v>
      </c>
      <c r="K18" s="26">
        <v>60000</v>
      </c>
      <c r="L18" s="26">
        <v>41000</v>
      </c>
      <c r="M18" s="26">
        <v>113000</v>
      </c>
      <c r="N18" s="34">
        <v>214000</v>
      </c>
      <c r="O18" s="26">
        <v>48000</v>
      </c>
      <c r="P18" s="26">
        <v>116000</v>
      </c>
      <c r="Q18" s="26">
        <v>80000</v>
      </c>
      <c r="R18" s="34">
        <v>244000</v>
      </c>
      <c r="S18" s="35">
        <v>458000</v>
      </c>
      <c r="T18" s="36">
        <v>758000</v>
      </c>
    </row>
    <row r="19" spans="1:20" s="37" customFormat="1" ht="15.65" customHeight="1" x14ac:dyDescent="0.3">
      <c r="A19" s="33" t="s">
        <v>153</v>
      </c>
      <c r="B19" s="26">
        <v>41000</v>
      </c>
      <c r="C19" s="26">
        <v>30000</v>
      </c>
      <c r="D19" s="26">
        <v>56000</v>
      </c>
      <c r="E19" s="34">
        <v>127000</v>
      </c>
      <c r="F19" s="26">
        <v>55000</v>
      </c>
      <c r="G19" s="26">
        <v>55000</v>
      </c>
      <c r="H19" s="26">
        <v>63000</v>
      </c>
      <c r="I19" s="34">
        <v>173000</v>
      </c>
      <c r="J19" s="35">
        <v>300000</v>
      </c>
      <c r="K19" s="26">
        <v>73000</v>
      </c>
      <c r="L19" s="26">
        <v>54000</v>
      </c>
      <c r="M19" s="26">
        <v>32000</v>
      </c>
      <c r="N19" s="34">
        <v>159000</v>
      </c>
      <c r="O19" s="26">
        <v>54000</v>
      </c>
      <c r="P19" s="26">
        <v>77000</v>
      </c>
      <c r="Q19" s="26">
        <v>70000</v>
      </c>
      <c r="R19" s="34">
        <v>201000</v>
      </c>
      <c r="S19" s="35">
        <v>360000</v>
      </c>
      <c r="T19" s="36">
        <v>995000</v>
      </c>
    </row>
    <row r="20" spans="1:20" s="37" customFormat="1" ht="15.65" customHeight="1" x14ac:dyDescent="0.3">
      <c r="A20" s="33" t="s">
        <v>154</v>
      </c>
      <c r="B20" s="26">
        <v>177000</v>
      </c>
      <c r="C20" s="26">
        <v>163000</v>
      </c>
      <c r="D20" s="26">
        <v>78000</v>
      </c>
      <c r="E20" s="34">
        <v>418000</v>
      </c>
      <c r="F20" s="26">
        <v>56000</v>
      </c>
      <c r="G20" s="26">
        <v>61000</v>
      </c>
      <c r="H20" s="26">
        <v>100000</v>
      </c>
      <c r="I20" s="34">
        <v>217000</v>
      </c>
      <c r="J20" s="35">
        <v>635000</v>
      </c>
      <c r="K20" s="26">
        <v>134000</v>
      </c>
      <c r="L20" s="26">
        <v>78000</v>
      </c>
      <c r="M20" s="26">
        <v>129000</v>
      </c>
      <c r="N20" s="34">
        <v>341000</v>
      </c>
      <c r="O20" s="26">
        <v>90000</v>
      </c>
      <c r="P20" s="26">
        <v>129000</v>
      </c>
      <c r="Q20" s="26">
        <v>140000</v>
      </c>
      <c r="R20" s="34">
        <v>359000</v>
      </c>
      <c r="S20" s="35">
        <v>700000</v>
      </c>
      <c r="T20" s="36">
        <v>700000</v>
      </c>
    </row>
    <row r="21" spans="1:20" x14ac:dyDescent="0.3">
      <c r="A21"/>
    </row>
    <row r="22" spans="1:20" x14ac:dyDescent="0.3">
      <c r="A22"/>
    </row>
    <row r="23" spans="1:20" x14ac:dyDescent="0.3">
      <c r="A23" s="7" t="s">
        <v>159</v>
      </c>
    </row>
    <row r="24" spans="1:20" ht="28.8" customHeight="1" x14ac:dyDescent="0.3">
      <c r="A24" s="27" t="s">
        <v>11</v>
      </c>
      <c r="B24" s="28" t="s">
        <v>142</v>
      </c>
      <c r="C24" s="28" t="s">
        <v>143</v>
      </c>
      <c r="D24" s="28" t="s">
        <v>144</v>
      </c>
      <c r="E24" s="29" t="s">
        <v>145</v>
      </c>
      <c r="F24" s="30" t="s">
        <v>155</v>
      </c>
      <c r="G24" s="31" t="s">
        <v>156</v>
      </c>
      <c r="H24" s="32" t="s">
        <v>157</v>
      </c>
    </row>
    <row r="25" spans="1:20" s="37" customFormat="1" ht="14.95" customHeight="1" x14ac:dyDescent="0.3">
      <c r="A25" s="38" t="s">
        <v>149</v>
      </c>
      <c r="B25" s="39">
        <f>VLOOKUP($A25,$A$9:$T$20,MATCH(B$24,$A$9:$T$9,0),0)</f>
        <v>231000</v>
      </c>
      <c r="C25" s="39">
        <f t="shared" ref="C25:H35" si="0">VLOOKUP($A25,$A$9:$T$20,MATCH(C$24,$A$9:$T$9,0),0)</f>
        <v>203000</v>
      </c>
      <c r="D25" s="39">
        <f t="shared" si="0"/>
        <v>234000</v>
      </c>
      <c r="E25" s="40">
        <f t="shared" si="0"/>
        <v>246000</v>
      </c>
      <c r="F25" s="41">
        <f t="shared" si="0"/>
        <v>434000</v>
      </c>
      <c r="G25" s="42">
        <f t="shared" si="0"/>
        <v>480000</v>
      </c>
      <c r="H25" s="43">
        <f t="shared" si="0"/>
        <v>788000</v>
      </c>
    </row>
    <row r="26" spans="1:20" s="37" customFormat="1" ht="14.95" customHeight="1" x14ac:dyDescent="0.3">
      <c r="A26" s="38" t="s">
        <v>147</v>
      </c>
      <c r="B26" s="39">
        <f t="shared" ref="B26:B35" si="1">VLOOKUP($A26,$A$9:$T$20,MATCH(B$24,$A$9:$T$9,0),0)</f>
        <v>431000</v>
      </c>
      <c r="C26" s="39">
        <f t="shared" si="0"/>
        <v>258000</v>
      </c>
      <c r="D26" s="39">
        <f t="shared" si="0"/>
        <v>333000</v>
      </c>
      <c r="E26" s="40">
        <f t="shared" si="0"/>
        <v>517000</v>
      </c>
      <c r="F26" s="41">
        <f t="shared" si="0"/>
        <v>689000</v>
      </c>
      <c r="G26" s="42">
        <f t="shared" si="0"/>
        <v>850000</v>
      </c>
      <c r="H26" s="43">
        <f t="shared" si="0"/>
        <v>1284000</v>
      </c>
    </row>
    <row r="27" spans="1:20" s="37" customFormat="1" ht="14.95" customHeight="1" x14ac:dyDescent="0.3">
      <c r="A27" s="38" t="s">
        <v>150</v>
      </c>
      <c r="B27" s="39">
        <f t="shared" si="1"/>
        <v>182000</v>
      </c>
      <c r="C27" s="39">
        <f t="shared" si="0"/>
        <v>126000</v>
      </c>
      <c r="D27" s="39">
        <f t="shared" si="0"/>
        <v>207000</v>
      </c>
      <c r="E27" s="40">
        <f t="shared" si="0"/>
        <v>165000</v>
      </c>
      <c r="F27" s="41">
        <f t="shared" si="0"/>
        <v>308000</v>
      </c>
      <c r="G27" s="42">
        <f t="shared" si="0"/>
        <v>372000</v>
      </c>
      <c r="H27" s="43">
        <f t="shared" si="0"/>
        <v>1038000</v>
      </c>
    </row>
    <row r="28" spans="1:20" s="37" customFormat="1" ht="14.95" customHeight="1" x14ac:dyDescent="0.3">
      <c r="A28" s="38" t="s">
        <v>14</v>
      </c>
      <c r="B28" s="39">
        <f t="shared" si="1"/>
        <v>398000</v>
      </c>
      <c r="C28" s="39">
        <f t="shared" si="0"/>
        <v>456000</v>
      </c>
      <c r="D28" s="39">
        <f t="shared" si="0"/>
        <v>379000</v>
      </c>
      <c r="E28" s="40">
        <f t="shared" si="0"/>
        <v>376000</v>
      </c>
      <c r="F28" s="41">
        <f t="shared" si="0"/>
        <v>854000</v>
      </c>
      <c r="G28" s="42">
        <f t="shared" si="0"/>
        <v>755000</v>
      </c>
      <c r="H28" s="43">
        <f t="shared" si="0"/>
        <v>1671000</v>
      </c>
    </row>
    <row r="29" spans="1:20" s="37" customFormat="1" ht="14.95" customHeight="1" x14ac:dyDescent="0.3">
      <c r="A29" s="38" t="s">
        <v>148</v>
      </c>
      <c r="B29" s="39">
        <f t="shared" si="1"/>
        <v>383000</v>
      </c>
      <c r="C29" s="39">
        <f t="shared" si="0"/>
        <v>473000</v>
      </c>
      <c r="D29" s="39">
        <f t="shared" si="0"/>
        <v>413000</v>
      </c>
      <c r="E29" s="40">
        <f t="shared" si="0"/>
        <v>331000</v>
      </c>
      <c r="F29" s="41">
        <f t="shared" si="0"/>
        <v>856000</v>
      </c>
      <c r="G29" s="42">
        <f t="shared" si="0"/>
        <v>744000</v>
      </c>
      <c r="H29" s="43">
        <f t="shared" si="0"/>
        <v>1541000</v>
      </c>
    </row>
    <row r="30" spans="1:20" s="37" customFormat="1" ht="14.95" customHeight="1" x14ac:dyDescent="0.3">
      <c r="A30" s="38" t="s">
        <v>151</v>
      </c>
      <c r="B30" s="39">
        <f t="shared" si="1"/>
        <v>339000</v>
      </c>
      <c r="C30" s="39">
        <f t="shared" si="0"/>
        <v>327000</v>
      </c>
      <c r="D30" s="39">
        <f t="shared" si="0"/>
        <v>352000</v>
      </c>
      <c r="E30" s="40">
        <f t="shared" si="0"/>
        <v>342000</v>
      </c>
      <c r="F30" s="41">
        <f t="shared" si="0"/>
        <v>666000</v>
      </c>
      <c r="G30" s="42">
        <f t="shared" si="0"/>
        <v>694000</v>
      </c>
      <c r="H30" s="43">
        <f t="shared" si="0"/>
        <v>1149000</v>
      </c>
    </row>
    <row r="31" spans="1:20" s="37" customFormat="1" ht="14.95" customHeight="1" x14ac:dyDescent="0.3">
      <c r="A31" s="38" t="s">
        <v>154</v>
      </c>
      <c r="B31" s="39">
        <f t="shared" si="1"/>
        <v>418000</v>
      </c>
      <c r="C31" s="39">
        <f t="shared" si="0"/>
        <v>217000</v>
      </c>
      <c r="D31" s="39">
        <f t="shared" si="0"/>
        <v>341000</v>
      </c>
      <c r="E31" s="40">
        <f t="shared" si="0"/>
        <v>359000</v>
      </c>
      <c r="F31" s="41">
        <f t="shared" si="0"/>
        <v>635000</v>
      </c>
      <c r="G31" s="42">
        <f t="shared" si="0"/>
        <v>700000</v>
      </c>
      <c r="H31" s="43">
        <f t="shared" si="0"/>
        <v>700000</v>
      </c>
    </row>
    <row r="32" spans="1:20" s="37" customFormat="1" ht="14.95" customHeight="1" x14ac:dyDescent="0.3">
      <c r="A32" s="38" t="s">
        <v>15</v>
      </c>
      <c r="B32" s="39">
        <f t="shared" si="1"/>
        <v>474000</v>
      </c>
      <c r="C32" s="39">
        <f t="shared" si="0"/>
        <v>442000</v>
      </c>
      <c r="D32" s="39">
        <f t="shared" si="0"/>
        <v>348000</v>
      </c>
      <c r="E32" s="40">
        <f t="shared" si="0"/>
        <v>334000</v>
      </c>
      <c r="F32" s="41">
        <f t="shared" si="0"/>
        <v>916000</v>
      </c>
      <c r="G32" s="42">
        <f t="shared" si="0"/>
        <v>682000</v>
      </c>
      <c r="H32" s="43">
        <f t="shared" si="0"/>
        <v>1538000</v>
      </c>
    </row>
    <row r="33" spans="1:8" s="37" customFormat="1" ht="14.95" customHeight="1" x14ac:dyDescent="0.3">
      <c r="A33" s="38" t="s">
        <v>152</v>
      </c>
      <c r="B33" s="39">
        <f t="shared" si="1"/>
        <v>271000</v>
      </c>
      <c r="C33" s="39">
        <f t="shared" si="0"/>
        <v>184000</v>
      </c>
      <c r="D33" s="39">
        <f t="shared" si="0"/>
        <v>214000</v>
      </c>
      <c r="E33" s="40">
        <f t="shared" si="0"/>
        <v>244000</v>
      </c>
      <c r="F33" s="41">
        <f t="shared" si="0"/>
        <v>455000</v>
      </c>
      <c r="G33" s="42">
        <f t="shared" si="0"/>
        <v>458000</v>
      </c>
      <c r="H33" s="43">
        <f t="shared" si="0"/>
        <v>758000</v>
      </c>
    </row>
    <row r="34" spans="1:8" s="37" customFormat="1" ht="14.95" customHeight="1" x14ac:dyDescent="0.3">
      <c r="A34" s="38" t="s">
        <v>153</v>
      </c>
      <c r="B34" s="39">
        <f t="shared" si="1"/>
        <v>127000</v>
      </c>
      <c r="C34" s="39">
        <f t="shared" si="0"/>
        <v>173000</v>
      </c>
      <c r="D34" s="39">
        <f t="shared" si="0"/>
        <v>159000</v>
      </c>
      <c r="E34" s="40">
        <f t="shared" si="0"/>
        <v>201000</v>
      </c>
      <c r="F34" s="41">
        <f t="shared" si="0"/>
        <v>300000</v>
      </c>
      <c r="G34" s="42">
        <f t="shared" si="0"/>
        <v>360000</v>
      </c>
      <c r="H34" s="43">
        <f t="shared" si="0"/>
        <v>995000</v>
      </c>
    </row>
    <row r="35" spans="1:8" s="37" customFormat="1" ht="14.95" customHeight="1" x14ac:dyDescent="0.3">
      <c r="A35" s="38" t="s">
        <v>146</v>
      </c>
      <c r="B35" s="39">
        <f t="shared" si="1"/>
        <v>313000</v>
      </c>
      <c r="C35" s="39">
        <f t="shared" si="0"/>
        <v>484000</v>
      </c>
      <c r="D35" s="39">
        <f t="shared" si="0"/>
        <v>287000</v>
      </c>
      <c r="E35" s="40">
        <f t="shared" si="0"/>
        <v>346000</v>
      </c>
      <c r="F35" s="41">
        <f t="shared" si="0"/>
        <v>797000</v>
      </c>
      <c r="G35" s="42">
        <f t="shared" si="0"/>
        <v>633000</v>
      </c>
      <c r="H35" s="43">
        <f t="shared" si="0"/>
        <v>1322000</v>
      </c>
    </row>
  </sheetData>
  <sortState xmlns:xlrd2="http://schemas.microsoft.com/office/spreadsheetml/2017/richdata2" ref="A25:A35">
    <sortCondition ref="A25:A35"/>
  </sortState>
  <mergeCells count="6">
    <mergeCell ref="A1:B2"/>
    <mergeCell ref="A3:C4"/>
    <mergeCell ref="E1:F1"/>
    <mergeCell ref="E2:F2"/>
    <mergeCell ref="E3:F3"/>
    <mergeCell ref="E4:F4"/>
  </mergeCells>
  <hyperlinks>
    <hyperlink ref="E2" r:id="rId1" xr:uid="{3B0304A5-D198-4862-BD94-9CF57B5FEAE3}"/>
    <hyperlink ref="E3" r:id="rId2" xr:uid="{3A4EB7EE-24D1-4396-9C3E-8E758F73E2BF}"/>
    <hyperlink ref="E4" r:id="rId3" xr:uid="{59C18A94-B5C0-48DF-AAAE-787CCB4BD727}"/>
    <hyperlink ref="E1" r:id="rId4" xr:uid="{354C09C8-0486-4089-9555-DD859E665D27}"/>
    <hyperlink ref="E1:F1" r:id="rId5" display="https://first.excel-club.ru" xr:uid="{38CFF598-94FC-4F3E-A6DA-A40073E0AE5D}"/>
  </hyperlink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5A9B-04E6-42C2-8854-97C3D8DB796A}">
  <dimension ref="A1:B15"/>
  <sheetViews>
    <sheetView workbookViewId="0">
      <selection activeCell="D14" sqref="D14"/>
    </sheetView>
  </sheetViews>
  <sheetFormatPr defaultRowHeight="14.4" x14ac:dyDescent="0.3"/>
  <cols>
    <col min="1" max="1" width="40.796875" bestFit="1" customWidth="1"/>
    <col min="2" max="2" width="23.796875" customWidth="1"/>
  </cols>
  <sheetData>
    <row r="1" spans="1:2" x14ac:dyDescent="0.3">
      <c r="A1" s="1" t="s">
        <v>9</v>
      </c>
      <c r="B1" s="1" t="s">
        <v>11</v>
      </c>
    </row>
    <row r="2" spans="1:2" x14ac:dyDescent="0.3">
      <c r="A2" s="2" t="s">
        <v>13</v>
      </c>
      <c r="B2" s="2" t="s">
        <v>14</v>
      </c>
    </row>
    <row r="3" spans="1:2" x14ac:dyDescent="0.3">
      <c r="A3" s="2" t="s">
        <v>17</v>
      </c>
      <c r="B3" s="2" t="s">
        <v>18</v>
      </c>
    </row>
    <row r="4" spans="1:2" x14ac:dyDescent="0.3">
      <c r="A4" s="2" t="s">
        <v>21</v>
      </c>
      <c r="B4" s="2" t="s">
        <v>15</v>
      </c>
    </row>
    <row r="5" spans="1:2" x14ac:dyDescent="0.3">
      <c r="A5" s="2" t="s">
        <v>24</v>
      </c>
      <c r="B5" s="2" t="s">
        <v>19</v>
      </c>
    </row>
    <row r="6" spans="1:2" x14ac:dyDescent="0.3">
      <c r="A6" s="2" t="s">
        <v>26</v>
      </c>
      <c r="B6" s="2" t="s">
        <v>22</v>
      </c>
    </row>
    <row r="7" spans="1:2" x14ac:dyDescent="0.3">
      <c r="A7" s="2" t="s">
        <v>28</v>
      </c>
    </row>
    <row r="8" spans="1:2" x14ac:dyDescent="0.3">
      <c r="A8" s="2" t="s">
        <v>30</v>
      </c>
    </row>
    <row r="9" spans="1:2" x14ac:dyDescent="0.3">
      <c r="A9" s="2" t="s">
        <v>32</v>
      </c>
    </row>
    <row r="10" spans="1:2" x14ac:dyDescent="0.3">
      <c r="A10" s="2" t="s">
        <v>34</v>
      </c>
    </row>
    <row r="11" spans="1:2" x14ac:dyDescent="0.3">
      <c r="A11" s="2" t="s">
        <v>36</v>
      </c>
    </row>
    <row r="12" spans="1:2" x14ac:dyDescent="0.3">
      <c r="A12" s="2" t="s">
        <v>38</v>
      </c>
    </row>
    <row r="13" spans="1:2" x14ac:dyDescent="0.3">
      <c r="A13" s="2" t="s">
        <v>40</v>
      </c>
    </row>
    <row r="14" spans="1:2" x14ac:dyDescent="0.3">
      <c r="A14" s="2" t="s">
        <v>42</v>
      </c>
    </row>
    <row r="15" spans="1:2" x14ac:dyDescent="0.3">
      <c r="A1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Пивикова</dc:creator>
  <cp:lastModifiedBy>Ольга Пивикова</cp:lastModifiedBy>
  <dcterms:created xsi:type="dcterms:W3CDTF">2015-06-05T18:19:34Z</dcterms:created>
  <dcterms:modified xsi:type="dcterms:W3CDTF">2025-09-04T10:05:30Z</dcterms:modified>
</cp:coreProperties>
</file>