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definedNames>
    <definedName name="_xlnm._FilterDatabase" localSheetId="0" hidden="1">Данные!$A$1:$K$1001</definedName>
  </definedNam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G65" i="2"/>
  <c r="G41" i="2"/>
  <c r="G17" i="2"/>
  <c r="W16" i="2"/>
  <c r="W17" i="2"/>
  <c r="W18" i="2"/>
  <c r="S16" i="2"/>
  <c r="S18" i="2"/>
  <c r="U18" i="2"/>
  <c r="T16" i="2"/>
  <c r="T18" i="2"/>
  <c r="U16" i="2"/>
  <c r="V16" i="2"/>
  <c r="V18" i="2"/>
  <c r="S17" i="2"/>
  <c r="T17" i="2"/>
  <c r="T19" i="2"/>
  <c r="U17" i="2"/>
  <c r="V17" i="2"/>
  <c r="V19" i="2"/>
  <c r="R16" i="2"/>
  <c r="R17" i="2"/>
  <c r="Q19" i="2"/>
  <c r="Q20" i="2"/>
  <c r="Q21" i="2"/>
  <c r="Q22" i="2"/>
  <c r="Q23" i="2"/>
  <c r="Q24" i="2"/>
  <c r="Q17" i="2"/>
  <c r="Q25" i="2"/>
  <c r="Q18" i="2"/>
  <c r="Q16" i="2"/>
  <c r="D90" i="2" l="1"/>
  <c r="D65" i="2"/>
  <c r="D41" i="2"/>
  <c r="D17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<sst xmlns="http://schemas.openxmlformats.org/spreadsheetml/2006/main" count="7121" uniqueCount="74">
  <si>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</si>
  <si>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</si>
  <si>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</si>
  <si>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</si>
  <si>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</si>
  <si>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</si>
  <si>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</si>
  <si>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</si>
  <si>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</si>
  <si>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</si>
  <si>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</si>
  <si>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</si>
  <si>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</si>
  <si>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</si>
  <si>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</si>
  <si>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</si>
  <si>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</si>
  <si>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</si>
  <si>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</si>
  <si>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</si>
  <si>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</si>
  <si>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</si>
  <si>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</si>
  <si>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</si>
  <si>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</si>
  <si>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</si>
  <si>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</si>
  <si>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</si>
  <si>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</si>
  <si>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</si>
  <si>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</si>
  <si>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</si>
  <si>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</si>
  <si>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</si>
  <si>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</si>
  <si>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</si>
  <si>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</si>
  <si>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</si>
  <si>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</si>
  <si>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</si>
  <si>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1 Группа</t>
  </si>
  <si>
    <t>тип респондента</t>
  </si>
  <si>
    <t>частота покупки</t>
  </si>
  <si>
    <t>доля обязательных платежей</t>
  </si>
  <si>
    <t>A</t>
  </si>
  <si>
    <t>B</t>
  </si>
  <si>
    <t>C</t>
  </si>
  <si>
    <t>D</t>
  </si>
  <si>
    <t>J</t>
  </si>
  <si>
    <t>K</t>
  </si>
  <si>
    <t>E</t>
  </si>
  <si>
    <t>Тип группы</t>
  </si>
  <si>
    <t>Значение</t>
  </si>
  <si>
    <t>Q4:Q13</t>
  </si>
  <si>
    <t>R4:R5</t>
  </si>
  <si>
    <t>S4:S6</t>
  </si>
  <si>
    <t>T4:T7</t>
  </si>
  <si>
    <t>U4:U6</t>
  </si>
  <si>
    <t>V4:V7</t>
  </si>
  <si>
    <t>W4:W7</t>
  </si>
  <si>
    <t>Допустимый ценовой диапазон</t>
  </si>
  <si>
    <t xml:space="preserve">PMC </t>
  </si>
  <si>
    <t>PME</t>
  </si>
  <si>
    <t>Точка безразличия IPP</t>
  </si>
  <si>
    <t>Выборка</t>
  </si>
  <si>
    <t>строка</t>
  </si>
  <si>
    <t>столб.</t>
  </si>
  <si>
    <t>График</t>
  </si>
  <si>
    <t>2 Группа</t>
  </si>
  <si>
    <t>3 Группа</t>
  </si>
  <si>
    <t>семейное положение</t>
  </si>
  <si>
    <t>4 Группа</t>
  </si>
  <si>
    <t>Выберите свою группу и значение &gt;&gt;</t>
  </si>
  <si>
    <t>(из списка)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</si>
</sst>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0" fillId="0" borderId="2" xfId="0" applyBorder="1"/>
    <xf numFmtId="0" fontId="5" fillId="0" borderId="1" xfId="0" applyFont="1" applyBorder="1" applyAlignment="1">
      <alignment horizontal="left" vertical="top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684276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sqref="A1:XFD1"/>
    </sheetView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zoomScale="85" zoomScaleNormal="85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44</v>
      </c>
      <c r="R1" t="s">
        <v>45</v>
      </c>
      <c r="S1" t="s">
        <v>46</v>
      </c>
      <c r="T1" t="s">
        <v>47</v>
      </c>
      <c r="U1" t="s">
        <v>50</v>
      </c>
      <c r="V1" t="s">
        <v>48</v>
      </c>
      <c r="W1" t="s">
        <v>49</v>
      </c>
    </row>
    <row r="2" spans="2:23" x14ac:dyDescent="0.3">
      <c r="Q2" s="3" t="s">
        <v>41</v>
      </c>
      <c r="R2" s="3" t="s">
        <v>1</v>
      </c>
      <c r="S2" s="11" t="s">
        <v>70</v>
      </c>
      <c r="T2" s="3" t="s">
        <v>3</v>
      </c>
      <c r="U2" s="3" t="s">
        <v>42</v>
      </c>
      <c r="V2" s="3" t="s">
        <v>9</v>
      </c>
      <c r="W2" s="3" t="s">
        <v>43</v>
      </c>
    </row>
    <row r="3" spans="2:23" x14ac:dyDescent="0.3">
      <c r="Q3" s="4" t="s">
        <v>53</v>
      </c>
      <c r="R3" s="4" t="s">
        <v>54</v>
      </c>
      <c r="S3" s="4" t="s">
        <v>55</v>
      </c>
      <c r="T3" s="4" t="s">
        <v>56</v>
      </c>
      <c r="U3" s="4" t="s">
        <v>57</v>
      </c>
      <c r="V3" s="4" t="s">
        <v>58</v>
      </c>
      <c r="W3" s="4" t="s">
        <v>59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40</v>
      </c>
    </row>
    <row r="16" spans="2:23" x14ac:dyDescent="0.3">
      <c r="B16" s="7" t="s">
        <v>51</v>
      </c>
      <c r="C16" s="7" t="s">
        <v>52</v>
      </c>
      <c r="D16" s="14" t="s">
        <v>64</v>
      </c>
      <c r="F16" s="8" t="s">
        <v>66</v>
      </c>
      <c r="G16" s="8" t="s">
        <v>65</v>
      </c>
      <c r="Q16" s="2">
        <f ca="1">COUNTIF(INDIRECT("Данные!"&amp;Q$1&amp;":"&amp;Q$1),результат!Q4)</f>
        <v>56</v>
      </c>
      <c r="R16" s="2">
        <f ca="1">COUNTIF(INDIRECT("Данные!"&amp;R$1&amp;":"&amp;R$1),результат!R4)</f>
        <v>364</v>
      </c>
      <c r="S16" s="2">
        <f ca="1">COUNTIF(INDIRECT("Данные!"&amp;S$1&amp;":"&amp;S$1),результат!S4)</f>
        <v>577</v>
      </c>
      <c r="T16" s="2">
        <f ca="1">COUNTIF(INDIRECT("Данные!"&amp;T$1&amp;":"&amp;T$1),результат!T4)</f>
        <v>56</v>
      </c>
      <c r="U16" s="2">
        <f ca="1">COUNTIF(INDIRECT("Данные!"&amp;U$1&amp;":"&amp;U$1),результат!U4)</f>
        <v>56</v>
      </c>
      <c r="V16" s="2">
        <f ca="1">COUNTIF(INDIRECT("Данные!"&amp;V$1&amp;":"&amp;V$1),результат!V4)</f>
        <v>230</v>
      </c>
      <c r="W16" s="2">
        <f ca="1">COUNTIF(INDIRECT("Данные!"&amp;W$1&amp;":"&amp;W$1),результат!W4)</f>
        <v>114</v>
      </c>
    </row>
    <row r="17" spans="1:23" x14ac:dyDescent="0.3">
      <c r="A17" s="12" t="s">
        <v>72</v>
      </c>
      <c r="B17" s="5" t="s">
        <v>1</v>
      </c>
      <c r="C17" s="5" t="s">
        <v>19</v>
      </c>
      <c r="D17" s="14" t="str">
        <f ca="1">INDEX($Q$16:$W$25,G17,F17)&amp;" респондентов"</f>
        <v>636 респондентов</v>
      </c>
      <c r="F17" s="8">
        <f>MATCH(B17,$Q$2:$W$2,0)</f>
        <v>2</v>
      </c>
      <c r="G17" s="9">
        <f ca="1">MATCH(C17,INDIRECT(HLOOKUP(B17,$Q$2:$W$3,2,0)),0)</f>
        <v>2</v>
      </c>
      <c r="Q17" s="2">
        <f ca="1">COUNTIF(INDIRECT("Данные!"&amp;Q$1&amp;":"&amp;Q$1),результат!Q5)</f>
        <v>161</v>
      </c>
      <c r="R17" s="2">
        <f ca="1">COUNTIF(INDIRECT("Данные!"&amp;R$1&amp;":"&amp;R$1),результат!R5)</f>
        <v>636</v>
      </c>
      <c r="S17" s="2">
        <f ca="1">COUNTIF(INDIRECT("Данные!"&amp;S$1&amp;":"&amp;S$1),результат!S5)</f>
        <v>184</v>
      </c>
      <c r="T17" s="2">
        <f ca="1">COUNTIF(INDIRECT("Данные!"&amp;T$1&amp;":"&amp;T$1),результат!T5)</f>
        <v>493</v>
      </c>
      <c r="U17" s="2">
        <f ca="1">COUNTIF(INDIRECT("Данные!"&amp;U$1&amp;":"&amp;U$1),результат!U5)</f>
        <v>435</v>
      </c>
      <c r="V17" s="2">
        <f ca="1">COUNTIF(INDIRECT("Данные!"&amp;V$1&amp;":"&amp;V$1),результат!V5)</f>
        <v>550</v>
      </c>
      <c r="W17" s="2">
        <f ca="1">COUNTIF(INDIRECT("Данные!"&amp;W$1&amp;":"&amp;W$1),результат!W5)</f>
        <v>495</v>
      </c>
    </row>
    <row r="18" spans="1:23" x14ac:dyDescent="0.3">
      <c r="A18" s="13" t="s">
        <v>73</v>
      </c>
      <c r="Q18" s="2">
        <f ca="1">COUNTIF(INDIRECT("Данные!"&amp;Q$1&amp;":"&amp;Q$1),результат!Q6)</f>
        <v>106</v>
      </c>
      <c r="R18" s="2"/>
      <c r="S18" s="2">
        <f ca="1">COUNTIF(INDIRECT("Данные!"&amp;S$1&amp;":"&amp;S$1),результат!S6)</f>
        <v>239</v>
      </c>
      <c r="T18" s="2">
        <f ca="1">COUNTIF(INDIRECT("Данные!"&amp;T$1&amp;":"&amp;T$1),результат!T6)</f>
        <v>223</v>
      </c>
      <c r="U18" s="2">
        <f ca="1">COUNTIF(INDIRECT("Данные!"&amp;U$1&amp;":"&amp;U$1),результат!U6)</f>
        <v>509</v>
      </c>
      <c r="V18" s="2">
        <f ca="1">COUNTIF(INDIRECT("Данные!"&amp;V$1&amp;":"&amp;V$1),результат!V6)</f>
        <v>190</v>
      </c>
      <c r="W18" s="2">
        <f ca="1">COUNTIF(INDIRECT("Данные!"&amp;W$1&amp;":"&amp;W$1),результат!W6)</f>
        <v>391</v>
      </c>
    </row>
    <row r="19" spans="1:23" x14ac:dyDescent="0.3">
      <c r="B19" t="s">
        <v>61</v>
      </c>
      <c r="C19" t="s">
        <v>62</v>
      </c>
      <c r="F19" t="s">
        <v>67</v>
      </c>
      <c r="Q19" s="2">
        <f ca="1">COUNTIF(INDIRECT("Данные!"&amp;Q$1&amp;":"&amp;Q$1),результат!Q7)</f>
        <v>121</v>
      </c>
      <c r="R19" s="2"/>
      <c r="S19" s="2"/>
      <c r="T19" s="2">
        <f ca="1">COUNTIF(INDIRECT("Данные!"&amp;T$1&amp;":"&amp;T$1),результат!T7)</f>
        <v>228</v>
      </c>
      <c r="U19" s="2"/>
      <c r="V19" s="2">
        <f ca="1">COUNTIF(INDIRECT("Данные!"&amp;V$1&amp;":"&amp;V$1),результат!V7)</f>
        <v>30</v>
      </c>
      <c r="W19" s="2"/>
    </row>
    <row r="20" spans="1:23" x14ac:dyDescent="0.3">
      <c r="A20" t="s">
        <v>60</v>
      </c>
      <c r="B20" s="6"/>
      <c r="C20" s="6"/>
      <c r="F20" s="6"/>
      <c r="G20" s="6"/>
      <c r="H20" s="6"/>
      <c r="I20" s="6"/>
      <c r="J20" s="6"/>
      <c r="K20" s="6"/>
      <c r="L20" s="6"/>
      <c r="M20" s="6"/>
      <c r="N20" s="6"/>
      <c r="O20" s="6"/>
      <c r="Q20" s="2">
        <f ca="1">COUNTIF(INDIRECT("Данные!"&amp;Q$1&amp;":"&amp;Q$1),результат!Q8)</f>
        <v>152</v>
      </c>
      <c r="R20" s="2"/>
      <c r="S20" s="2"/>
      <c r="T20" s="2"/>
      <c r="U20" s="2"/>
      <c r="V20" s="2"/>
      <c r="W20" s="2"/>
    </row>
    <row r="21" spans="1:23" x14ac:dyDescent="0.3">
      <c r="F21" s="6"/>
      <c r="G21" s="6"/>
      <c r="H21" s="6"/>
      <c r="I21" s="6"/>
      <c r="J21" s="6"/>
      <c r="K21" s="6"/>
      <c r="L21" s="6"/>
      <c r="M21" s="6"/>
      <c r="N21" s="6"/>
      <c r="O21" s="6"/>
      <c r="Q21" s="2">
        <f ca="1">COUNTIF(INDIRECT("Данные!"&amp;Q$1&amp;":"&amp;Q$1),результат!Q9)</f>
        <v>117</v>
      </c>
      <c r="R21" s="2"/>
      <c r="S21" s="2"/>
      <c r="T21" s="2"/>
      <c r="U21" s="2"/>
      <c r="V21" s="2"/>
      <c r="W21" s="2"/>
    </row>
    <row r="22" spans="1:23" x14ac:dyDescent="0.3">
      <c r="A22" t="s">
        <v>63</v>
      </c>
      <c r="B22" s="6"/>
      <c r="F22" s="6"/>
      <c r="G22" s="6"/>
      <c r="H22" s="6"/>
      <c r="I22" s="6"/>
      <c r="J22" s="6"/>
      <c r="K22" s="6"/>
      <c r="L22" s="6"/>
      <c r="M22" s="6"/>
      <c r="N22" s="6"/>
      <c r="O22" s="6"/>
      <c r="Q22" s="2">
        <f ca="1">COUNTIF(INDIRECT("Данные!"&amp;Q$1&amp;":"&amp;Q$1),результат!Q10)</f>
        <v>38</v>
      </c>
      <c r="R22" s="2"/>
      <c r="S22" s="2"/>
      <c r="T22" s="2"/>
      <c r="U22" s="2"/>
      <c r="V22" s="2"/>
      <c r="W22" s="2"/>
    </row>
    <row r="23" spans="1:23" x14ac:dyDescent="0.3">
      <c r="F23" s="6"/>
      <c r="G23" s="6"/>
      <c r="H23" s="6"/>
      <c r="I23" s="6"/>
      <c r="J23" s="6"/>
      <c r="K23" s="6"/>
      <c r="L23" s="6"/>
      <c r="M23" s="6"/>
      <c r="N23" s="6"/>
      <c r="O23" s="6"/>
      <c r="Q23" s="2">
        <f ca="1">COUNTIF(INDIRECT("Данные!"&amp;Q$1&amp;":"&amp;Q$1),результат!Q11)</f>
        <v>96</v>
      </c>
      <c r="R23" s="2"/>
      <c r="S23" s="2"/>
      <c r="T23" s="2"/>
      <c r="U23" s="2"/>
      <c r="V23" s="2"/>
      <c r="W23" s="2"/>
    </row>
    <row r="24" spans="1:23" x14ac:dyDescent="0.3">
      <c r="F24" s="6"/>
      <c r="G24" s="6"/>
      <c r="H24" s="6"/>
      <c r="I24" s="6"/>
      <c r="J24" s="6"/>
      <c r="K24" s="6"/>
      <c r="L24" s="6"/>
      <c r="M24" s="6"/>
      <c r="N24" s="6"/>
      <c r="O24" s="6"/>
      <c r="Q24" s="2">
        <f ca="1">COUNTIF(INDIRECT("Данные!"&amp;Q$1&amp;":"&amp;Q$1),результат!Q12)</f>
        <v>104</v>
      </c>
      <c r="R24" s="2"/>
      <c r="S24" s="2"/>
      <c r="T24" s="2"/>
      <c r="U24" s="2"/>
      <c r="V24" s="2"/>
      <c r="W24" s="2"/>
    </row>
    <row r="25" spans="1:23" x14ac:dyDescent="0.3">
      <c r="F25" s="6"/>
      <c r="G25" s="6"/>
      <c r="H25" s="6"/>
      <c r="I25" s="6"/>
      <c r="J25" s="6"/>
      <c r="K25" s="6"/>
      <c r="L25" s="6"/>
      <c r="M25" s="6"/>
      <c r="N25" s="6"/>
      <c r="O25" s="6"/>
      <c r="Q25" s="2">
        <f ca="1">COUNTIF(INDIRECT("Данные!"&amp;Q$1&amp;":"&amp;Q$1),результат!Q13)</f>
        <v>49</v>
      </c>
      <c r="R25" s="2"/>
      <c r="S25" s="2"/>
      <c r="T25" s="2"/>
      <c r="U25" s="2"/>
      <c r="V25" s="2"/>
      <c r="W25" s="2"/>
    </row>
    <row r="26" spans="1:23" x14ac:dyDescent="0.3">
      <c r="F26" s="6"/>
      <c r="G26" s="6"/>
      <c r="H26" s="6"/>
      <c r="I26" s="6"/>
      <c r="J26" s="6"/>
      <c r="K26" s="6"/>
      <c r="L26" s="6"/>
      <c r="M26" s="6"/>
      <c r="N26" s="6"/>
      <c r="O26" s="6"/>
      <c r="Q26" s="2"/>
      <c r="R26" s="2"/>
      <c r="S26" s="2"/>
      <c r="T26" s="2"/>
      <c r="U26" s="2"/>
      <c r="V26" s="2"/>
      <c r="W26" s="2"/>
    </row>
    <row r="27" spans="1:23" x14ac:dyDescent="0.3">
      <c r="F27" s="6"/>
      <c r="G27" s="6"/>
      <c r="H27" s="6"/>
      <c r="I27" s="6"/>
      <c r="J27" s="6"/>
      <c r="K27" s="6"/>
      <c r="L27" s="6"/>
      <c r="M27" s="6"/>
      <c r="N27" s="6"/>
      <c r="O27" s="6"/>
      <c r="Q27" s="2"/>
      <c r="R27" s="2"/>
      <c r="S27" s="2"/>
      <c r="T27" s="2"/>
      <c r="U27" s="2"/>
      <c r="V27" s="2"/>
      <c r="W27" s="2"/>
    </row>
    <row r="28" spans="1:23" x14ac:dyDescent="0.3">
      <c r="F28" s="6"/>
      <c r="G28" s="6"/>
      <c r="H28" s="6"/>
      <c r="I28" s="6"/>
      <c r="J28" s="6"/>
      <c r="K28" s="6"/>
      <c r="L28" s="6"/>
      <c r="M28" s="6"/>
      <c r="N28" s="6"/>
      <c r="O28" s="6"/>
      <c r="Q28" s="2"/>
      <c r="R28" s="2"/>
      <c r="S28" s="2"/>
      <c r="T28" s="2"/>
      <c r="U28" s="2"/>
      <c r="V28" s="2"/>
      <c r="W28" s="2"/>
    </row>
    <row r="29" spans="1:23" x14ac:dyDescent="0.3"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23" x14ac:dyDescent="0.3"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23" x14ac:dyDescent="0.3"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23" x14ac:dyDescent="0.3"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3"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3"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3"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3"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3">
      <c r="A37" s="10"/>
      <c r="B37" s="10"/>
      <c r="C37" s="10"/>
      <c r="D37" s="10"/>
    </row>
    <row r="39" spans="1:15" x14ac:dyDescent="0.3">
      <c r="B39" t="s">
        <v>68</v>
      </c>
    </row>
    <row r="40" spans="1:15" x14ac:dyDescent="0.3">
      <c r="B40" s="7" t="s">
        <v>51</v>
      </c>
      <c r="C40" s="7" t="s">
        <v>52</v>
      </c>
      <c r="D40" s="14" t="s">
        <v>64</v>
      </c>
      <c r="F40" s="8" t="s">
        <v>66</v>
      </c>
      <c r="G40" s="8" t="s">
        <v>65</v>
      </c>
    </row>
    <row r="41" spans="1:15" x14ac:dyDescent="0.3">
      <c r="A41" s="12" t="s">
        <v>72</v>
      </c>
      <c r="B41" s="5" t="s">
        <v>1</v>
      </c>
      <c r="C41" s="5" t="s">
        <v>12</v>
      </c>
      <c r="D41" s="14" t="str">
        <f ca="1">INDEX($Q$16:$W$25,G41,F41)&amp;" респондентов"</f>
        <v>364 респондентов</v>
      </c>
      <c r="F41" s="8">
        <f>MATCH(B41,$Q$2:$W$2,0)</f>
        <v>2</v>
      </c>
      <c r="G41" s="9">
        <f ca="1">MATCH(C41,INDIRECT(HLOOKUP(B41,$Q$2:$W$3,2,0)),0)</f>
        <v>1</v>
      </c>
    </row>
    <row r="42" spans="1:15" x14ac:dyDescent="0.3">
      <c r="A42" s="13" t="s">
        <v>73</v>
      </c>
    </row>
    <row r="43" spans="1:15" x14ac:dyDescent="0.3">
      <c r="B43" t="s">
        <v>61</v>
      </c>
      <c r="C43" t="s">
        <v>62</v>
      </c>
      <c r="F43" t="s">
        <v>67</v>
      </c>
    </row>
    <row r="44" spans="1:15" x14ac:dyDescent="0.3">
      <c r="A44" t="s">
        <v>60</v>
      </c>
      <c r="B44" s="6"/>
      <c r="C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x14ac:dyDescent="0.3"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x14ac:dyDescent="0.3">
      <c r="A46" t="s">
        <v>63</v>
      </c>
      <c r="B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x14ac:dyDescent="0.3"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x14ac:dyDescent="0.3"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3"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x14ac:dyDescent="0.3"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x14ac:dyDescent="0.3"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x14ac:dyDescent="0.3"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3"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3"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x14ac:dyDescent="0.3"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x14ac:dyDescent="0.3"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x14ac:dyDescent="0.3"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x14ac:dyDescent="0.3"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x14ac:dyDescent="0.3"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x14ac:dyDescent="0.3"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x14ac:dyDescent="0.3">
      <c r="A61" s="10"/>
      <c r="B61" s="10"/>
      <c r="C61" s="10"/>
      <c r="D61" s="10"/>
    </row>
    <row r="63" spans="1:15" x14ac:dyDescent="0.3">
      <c r="B63" t="s">
        <v>69</v>
      </c>
    </row>
    <row r="64" spans="1:15" x14ac:dyDescent="0.3">
      <c r="B64" s="7" t="s">
        <v>51</v>
      </c>
      <c r="C64" s="7" t="s">
        <v>52</v>
      </c>
      <c r="D64" s="14" t="s">
        <v>64</v>
      </c>
      <c r="F64" s="8" t="s">
        <v>66</v>
      </c>
      <c r="G64" s="8" t="s">
        <v>65</v>
      </c>
    </row>
    <row r="65" spans="1:15" x14ac:dyDescent="0.3">
      <c r="A65" s="12" t="s">
        <v>72</v>
      </c>
      <c r="B65" s="5" t="s">
        <v>9</v>
      </c>
      <c r="C65" s="5" t="s">
        <v>31</v>
      </c>
      <c r="D65" s="14" t="str">
        <f ca="1">INDEX($Q$16:$W$25,G65,F65)&amp;" респондентов"</f>
        <v>190 респондентов</v>
      </c>
      <c r="F65" s="8">
        <f>MATCH(B65,$Q$2:$W$2,0)</f>
        <v>6</v>
      </c>
      <c r="G65" s="9">
        <f ca="1">MATCH(C65,INDIRECT(HLOOKUP(B65,$Q$2:$W$3,2,0)),0)</f>
        <v>3</v>
      </c>
    </row>
    <row r="66" spans="1:15" x14ac:dyDescent="0.3">
      <c r="A66" s="13" t="s">
        <v>73</v>
      </c>
    </row>
    <row r="67" spans="1:15" x14ac:dyDescent="0.3">
      <c r="B67" t="s">
        <v>61</v>
      </c>
      <c r="C67" t="s">
        <v>62</v>
      </c>
      <c r="F67" t="s">
        <v>67</v>
      </c>
    </row>
    <row r="68" spans="1:15" x14ac:dyDescent="0.3">
      <c r="A68" t="s">
        <v>60</v>
      </c>
      <c r="B68" s="6"/>
      <c r="C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x14ac:dyDescent="0.3"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3">
      <c r="A70" t="s">
        <v>63</v>
      </c>
      <c r="B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3"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3"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3"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3"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x14ac:dyDescent="0.3"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x14ac:dyDescent="0.3"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x14ac:dyDescent="0.3"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x14ac:dyDescent="0.3"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x14ac:dyDescent="0.3"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x14ac:dyDescent="0.3"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x14ac:dyDescent="0.3"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3"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3"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3">
      <c r="F84" s="6"/>
      <c r="G84" s="6"/>
      <c r="H84" s="6"/>
      <c r="I84" s="6"/>
      <c r="J84" s="6"/>
      <c r="K84" s="6"/>
      <c r="L84" s="6"/>
      <c r="M84" s="6"/>
      <c r="N84" s="6"/>
      <c r="O84" s="6"/>
    </row>
    <row r="86" spans="1:15" x14ac:dyDescent="0.3">
      <c r="A86" s="10"/>
      <c r="B86" s="10"/>
      <c r="C86" s="10"/>
      <c r="D86" s="10"/>
    </row>
    <row r="88" spans="1:15" x14ac:dyDescent="0.3">
      <c r="B88" t="s">
        <v>71</v>
      </c>
    </row>
    <row r="89" spans="1:15" x14ac:dyDescent="0.3">
      <c r="B89" s="7" t="s">
        <v>51</v>
      </c>
      <c r="C89" s="7" t="s">
        <v>52</v>
      </c>
      <c r="D89" s="14" t="s">
        <v>64</v>
      </c>
      <c r="F89" s="8" t="s">
        <v>66</v>
      </c>
      <c r="G89" s="8" t="s">
        <v>65</v>
      </c>
    </row>
    <row r="90" spans="1:15" x14ac:dyDescent="0.3">
      <c r="A90" s="12" t="s">
        <v>72</v>
      </c>
      <c r="B90" s="5" t="s">
        <v>9</v>
      </c>
      <c r="C90" s="5" t="s">
        <v>23</v>
      </c>
      <c r="D90" s="14" t="str">
        <f ca="1">INDEX($Q$16:$W$25,G90,F90)&amp;" респондентов"</f>
        <v>550 респондентов</v>
      </c>
      <c r="F90" s="8">
        <f>MATCH(B90,$Q$2:$W$2,0)</f>
        <v>6</v>
      </c>
      <c r="G90" s="9">
        <f ca="1">MATCH(C90,INDIRECT(HLOOKUP(B90,$Q$2:$W$3,2,0)),0)</f>
        <v>2</v>
      </c>
    </row>
    <row r="91" spans="1:15" x14ac:dyDescent="0.3">
      <c r="A91" s="13" t="s">
        <v>73</v>
      </c>
    </row>
    <row r="92" spans="1:15" x14ac:dyDescent="0.3">
      <c r="B92" t="s">
        <v>61</v>
      </c>
      <c r="C92" t="s">
        <v>62</v>
      </c>
      <c r="F92" t="s">
        <v>67</v>
      </c>
    </row>
    <row r="93" spans="1:15" x14ac:dyDescent="0.3">
      <c r="A93" t="s">
        <v>60</v>
      </c>
      <c r="B93" s="6"/>
      <c r="C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3"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x14ac:dyDescent="0.3">
      <c r="A95" t="s">
        <v>63</v>
      </c>
      <c r="B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x14ac:dyDescent="0.3"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6:15" x14ac:dyDescent="0.3"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6:15" x14ac:dyDescent="0.3"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6:15" x14ac:dyDescent="0.3"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6:15" x14ac:dyDescent="0.3"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6:15" x14ac:dyDescent="0.3"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6:15" x14ac:dyDescent="0.3"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6:15" x14ac:dyDescent="0.3"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6:15" x14ac:dyDescent="0.3"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6:15" x14ac:dyDescent="0.3"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6:15" x14ac:dyDescent="0.3"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6:15" x14ac:dyDescent="0.3"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6:15" x14ac:dyDescent="0.3"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6:15" x14ac:dyDescent="0.3">
      <c r="F109" s="6"/>
      <c r="G109" s="6"/>
      <c r="H109" s="6"/>
      <c r="I109" s="6"/>
      <c r="J109" s="6"/>
      <c r="K109" s="6"/>
      <c r="L109" s="6"/>
      <c r="M109" s="6"/>
      <c r="N109" s="6"/>
      <c r="O109" s="6"/>
    </row>
  </sheetData>
  <dataValidations count="2">
    <dataValidation type="list" allowBlank="1" showInputMessage="1" showErrorMessage="1" sqref="B17 B41 B65 B90">
      <formula1>$Q$2:$W$2</formula1>
    </dataValidation>
    <dataValidation type="list" allowBlank="1" showInputMessage="1" showErrorMessage="1" sqref="C17 C41 C65 C90">
      <formula1>INDIRECT(HLOOKUP(B17,$Q$2:$W$3,2,0))</formula1>
    </dataValidation>
  </dataValidations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2026-04-13T18:56:15Z</dcterms:created>
  <dcterms:modified xsi:type="dcterms:W3CDTF">2026-10-24T22:23:21Z</dcterms:modified>
</cp:coreProperties>
</file>